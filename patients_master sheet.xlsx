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key\Desktop\Human_ health\"/>
    </mc:Choice>
  </mc:AlternateContent>
  <xr:revisionPtr revIDLastSave="0" documentId="13_ncr:1_{1578D347-F477-4707-9A02-A9B5DECD2457}" xr6:coauthVersionLast="47" xr6:coauthVersionMax="47" xr10:uidLastSave="{00000000-0000-0000-0000-000000000000}"/>
  <bookViews>
    <workbookView xWindow="12600" yWindow="0" windowWidth="12600" windowHeight="15150" xr2:uid="{520D84D5-2226-4956-9D37-7E5E4264E838}"/>
  </bookViews>
  <sheets>
    <sheet name="Sheet4" sheetId="5" r:id="rId1"/>
    <sheet name="patients" sheetId="1" r:id="rId2"/>
    <sheet name="labs" sheetId="2" r:id="rId3"/>
    <sheet name="outcomes" sheetId="3" r:id="rId4"/>
    <sheet name="Dignosis" sheetId="4" r:id="rId5"/>
  </sheets>
  <definedNames>
    <definedName name="_xlnm._FilterDatabase" localSheetId="2" hidden="1">labs!$A$1:$G$201</definedName>
  </definedNames>
  <calcPr calcId="191029"/>
  <pivotCaches>
    <pivotCache cacheId="1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  <c r="F191" i="2" a="1"/>
  <c r="F191" i="2" s="1"/>
  <c r="F177" i="2" a="1"/>
  <c r="F177" i="2" s="1"/>
  <c r="F157" i="2" a="1"/>
  <c r="F157" i="2" s="1"/>
  <c r="F151" i="2" a="1"/>
  <c r="F151" i="2" s="1"/>
  <c r="F142" i="2" a="1"/>
  <c r="F142" i="2" s="1"/>
  <c r="F121" i="2" a="1"/>
  <c r="F121" i="2" s="1"/>
  <c r="F114" i="2" a="1"/>
  <c r="F114" i="2" s="1"/>
  <c r="F113" i="2" a="1"/>
  <c r="F113" i="2" s="1"/>
  <c r="F106" i="2" a="1"/>
  <c r="F106" i="2" s="1"/>
  <c r="F102" i="2" a="1"/>
  <c r="F102" i="2" s="1"/>
  <c r="F98" i="2" a="1"/>
  <c r="F98" i="2" s="1"/>
  <c r="F86" i="2" a="1"/>
  <c r="F86" i="2" s="1"/>
  <c r="F75" i="2" a="1"/>
  <c r="F75" i="2" s="1"/>
  <c r="F67" i="2" a="1"/>
  <c r="F67" i="2" s="1"/>
  <c r="F55" i="2" a="1"/>
  <c r="F55" i="2" s="1"/>
  <c r="F53" i="2" a="1"/>
  <c r="F53" i="2" s="1"/>
  <c r="F46" i="2" a="1"/>
  <c r="F46" i="2" s="1"/>
  <c r="F41" i="2" a="1"/>
  <c r="F41" i="2" s="1"/>
  <c r="F17" i="2" a="1"/>
  <c r="F17" i="2" s="1"/>
  <c r="F12" i="2" a="1"/>
  <c r="F12" i="2" s="1"/>
  <c r="F7" i="2" a="1"/>
  <c r="F7" i="2" s="1"/>
  <c r="F6" i="2" a="1"/>
  <c r="F6" i="2" s="1"/>
  <c r="F2" i="2" a="1"/>
  <c r="F2" i="2" s="1"/>
  <c r="F193" i="2" a="1"/>
  <c r="F193" i="2" s="1"/>
  <c r="F185" i="2" a="1"/>
  <c r="F185" i="2" s="1"/>
  <c r="F3" i="2" a="1"/>
  <c r="F3" i="2" s="1"/>
  <c r="F4" i="2" a="1"/>
  <c r="F4" i="2" s="1"/>
  <c r="F5" i="2" a="1"/>
  <c r="F5" i="2" s="1"/>
  <c r="F8" i="2" a="1"/>
  <c r="F8" i="2" s="1"/>
  <c r="F9" i="2" a="1"/>
  <c r="F9" i="2" s="1"/>
  <c r="F10" i="2" a="1"/>
  <c r="F10" i="2" s="1"/>
  <c r="F11" i="2" a="1"/>
  <c r="F11" i="2" s="1"/>
  <c r="F13" i="2" a="1"/>
  <c r="F13" i="2" s="1"/>
  <c r="F14" i="2" a="1"/>
  <c r="F14" i="2" s="1"/>
  <c r="F15" i="2" a="1"/>
  <c r="F15" i="2" s="1"/>
  <c r="F16" i="2" a="1"/>
  <c r="F16" i="2" s="1"/>
  <c r="F18" i="2" a="1"/>
  <c r="F18" i="2" s="1"/>
  <c r="F19" i="2" a="1"/>
  <c r="F19" i="2" s="1"/>
  <c r="F20" i="2" a="1"/>
  <c r="F20" i="2" s="1"/>
  <c r="F21" i="2" a="1"/>
  <c r="F21" i="2" s="1"/>
  <c r="F22" i="2" a="1"/>
  <c r="F22" i="2" s="1"/>
  <c r="F23" i="2" a="1"/>
  <c r="F23" i="2" s="1"/>
  <c r="F24" i="2" a="1"/>
  <c r="F24" i="2" s="1"/>
  <c r="F25" i="2" a="1"/>
  <c r="F25" i="2" s="1"/>
  <c r="F26" i="2" a="1"/>
  <c r="F26" i="2" s="1"/>
  <c r="F27" i="2" a="1"/>
  <c r="F27" i="2" s="1"/>
  <c r="F28" i="2" a="1"/>
  <c r="F28" i="2" s="1"/>
  <c r="F29" i="2" a="1"/>
  <c r="F29" i="2" s="1"/>
  <c r="F30" i="2" a="1"/>
  <c r="F30" i="2" s="1"/>
  <c r="F31" i="2" a="1"/>
  <c r="F31" i="2" s="1"/>
  <c r="F32" i="2" a="1"/>
  <c r="F32" i="2" s="1"/>
  <c r="F33" i="2" a="1"/>
  <c r="F33" i="2" s="1"/>
  <c r="F34" i="2" a="1"/>
  <c r="F34" i="2" s="1"/>
  <c r="F35" i="2" a="1"/>
  <c r="F35" i="2" s="1"/>
  <c r="F36" i="2" a="1"/>
  <c r="F36" i="2" s="1"/>
  <c r="F37" i="2" a="1"/>
  <c r="F37" i="2" s="1"/>
  <c r="F38" i="2" a="1"/>
  <c r="F38" i="2" s="1"/>
  <c r="F39" i="2" a="1"/>
  <c r="F39" i="2" s="1"/>
  <c r="F40" i="2" a="1"/>
  <c r="F40" i="2" s="1"/>
  <c r="F42" i="2" a="1"/>
  <c r="F42" i="2" s="1"/>
  <c r="F43" i="2" a="1"/>
  <c r="F43" i="2" s="1"/>
  <c r="F44" i="2" a="1"/>
  <c r="F44" i="2" s="1"/>
  <c r="F45" i="2" a="1"/>
  <c r="F45" i="2" s="1"/>
  <c r="F47" i="2" a="1"/>
  <c r="F47" i="2" s="1"/>
  <c r="F48" i="2" a="1"/>
  <c r="F48" i="2" s="1"/>
  <c r="F49" i="2" a="1"/>
  <c r="F49" i="2" s="1"/>
  <c r="F50" i="2" a="1"/>
  <c r="F50" i="2" s="1"/>
  <c r="F51" i="2" a="1"/>
  <c r="F51" i="2" s="1"/>
  <c r="F52" i="2" a="1"/>
  <c r="F52" i="2" s="1"/>
  <c r="F54" i="2" a="1"/>
  <c r="F54" i="2" s="1"/>
  <c r="F56" i="2" a="1"/>
  <c r="F56" i="2" s="1"/>
  <c r="F57" i="2" a="1"/>
  <c r="F57" i="2" s="1"/>
  <c r="F58" i="2" a="1"/>
  <c r="F58" i="2" s="1"/>
  <c r="F59" i="2" a="1"/>
  <c r="F59" i="2" s="1"/>
  <c r="F60" i="2" a="1"/>
  <c r="F60" i="2" s="1"/>
  <c r="F61" i="2" a="1"/>
  <c r="F61" i="2" s="1"/>
  <c r="F62" i="2" a="1"/>
  <c r="F62" i="2" s="1"/>
  <c r="F63" i="2" a="1"/>
  <c r="F63" i="2" s="1"/>
  <c r="F64" i="2" a="1"/>
  <c r="F64" i="2" s="1"/>
  <c r="F65" i="2" a="1"/>
  <c r="F65" i="2" s="1"/>
  <c r="F66" i="2" a="1"/>
  <c r="F66" i="2" s="1"/>
  <c r="F68" i="2" a="1"/>
  <c r="F68" i="2" s="1"/>
  <c r="F69" i="2" a="1"/>
  <c r="F69" i="2" s="1"/>
  <c r="F70" i="2" a="1"/>
  <c r="F70" i="2" s="1"/>
  <c r="F71" i="2" a="1"/>
  <c r="F71" i="2" s="1"/>
  <c r="F72" i="2" a="1"/>
  <c r="F72" i="2" s="1"/>
  <c r="F73" i="2" a="1"/>
  <c r="F73" i="2" s="1"/>
  <c r="F74" i="2" a="1"/>
  <c r="F74" i="2" s="1"/>
  <c r="F76" i="2" a="1"/>
  <c r="F76" i="2" s="1"/>
  <c r="F77" i="2" a="1"/>
  <c r="F77" i="2" s="1"/>
  <c r="F78" i="2" a="1"/>
  <c r="F78" i="2" s="1"/>
  <c r="F79" i="2" a="1"/>
  <c r="F79" i="2" s="1"/>
  <c r="F80" i="2" a="1"/>
  <c r="F80" i="2" s="1"/>
  <c r="F81" i="2" a="1"/>
  <c r="F81" i="2" s="1"/>
  <c r="F82" i="2" a="1"/>
  <c r="F82" i="2" s="1"/>
  <c r="F83" i="2" a="1"/>
  <c r="F83" i="2" s="1"/>
  <c r="F84" i="2" a="1"/>
  <c r="F84" i="2" s="1"/>
  <c r="F85" i="2" a="1"/>
  <c r="F85" i="2" s="1"/>
  <c r="F87" i="2" a="1"/>
  <c r="F87" i="2" s="1"/>
  <c r="F88" i="2" a="1"/>
  <c r="F88" i="2" s="1"/>
  <c r="F89" i="2" a="1"/>
  <c r="F89" i="2" s="1"/>
  <c r="F90" i="2" a="1"/>
  <c r="F90" i="2" s="1"/>
  <c r="F91" i="2" a="1"/>
  <c r="F91" i="2" s="1"/>
  <c r="F92" i="2" a="1"/>
  <c r="F92" i="2" s="1"/>
  <c r="F93" i="2" a="1"/>
  <c r="F93" i="2" s="1"/>
  <c r="F94" i="2" a="1"/>
  <c r="F94" i="2" s="1"/>
  <c r="F95" i="2" a="1"/>
  <c r="F95" i="2" s="1"/>
  <c r="F96" i="2" a="1"/>
  <c r="F96" i="2" s="1"/>
  <c r="F97" i="2" a="1"/>
  <c r="F97" i="2" s="1"/>
  <c r="F99" i="2" a="1"/>
  <c r="F99" i="2" s="1"/>
  <c r="F100" i="2" a="1"/>
  <c r="F100" i="2" s="1"/>
  <c r="F101" i="2" a="1"/>
  <c r="F101" i="2" s="1"/>
  <c r="F103" i="2" a="1"/>
  <c r="F103" i="2" s="1"/>
  <c r="F104" i="2" a="1"/>
  <c r="F104" i="2" s="1"/>
  <c r="F105" i="2" a="1"/>
  <c r="F105" i="2" s="1"/>
  <c r="F107" i="2" a="1"/>
  <c r="F107" i="2" s="1"/>
  <c r="F108" i="2" a="1"/>
  <c r="F108" i="2" s="1"/>
  <c r="F109" i="2" a="1"/>
  <c r="F109" i="2" s="1"/>
  <c r="F110" i="2" a="1"/>
  <c r="F110" i="2" s="1"/>
  <c r="F111" i="2" a="1"/>
  <c r="F111" i="2" s="1"/>
  <c r="F112" i="2" a="1"/>
  <c r="F112" i="2" s="1"/>
  <c r="F115" i="2" a="1"/>
  <c r="F115" i="2" s="1"/>
  <c r="F116" i="2" a="1"/>
  <c r="F116" i="2" s="1"/>
  <c r="F117" i="2" a="1"/>
  <c r="F117" i="2" s="1"/>
  <c r="F118" i="2" a="1"/>
  <c r="F118" i="2" s="1"/>
  <c r="F119" i="2" a="1"/>
  <c r="F119" i="2" s="1"/>
  <c r="F120" i="2" a="1"/>
  <c r="F120" i="2" s="1"/>
  <c r="F122" i="2" a="1"/>
  <c r="F122" i="2" s="1"/>
  <c r="F123" i="2" a="1"/>
  <c r="F123" i="2" s="1"/>
  <c r="F124" i="2" a="1"/>
  <c r="F124" i="2" s="1"/>
  <c r="F125" i="2" a="1"/>
  <c r="F125" i="2" s="1"/>
  <c r="F126" i="2" a="1"/>
  <c r="F126" i="2" s="1"/>
  <c r="F127" i="2" a="1"/>
  <c r="F127" i="2" s="1"/>
  <c r="F128" i="2" a="1"/>
  <c r="F128" i="2" s="1"/>
  <c r="F129" i="2" a="1"/>
  <c r="F129" i="2" s="1"/>
  <c r="F130" i="2" a="1"/>
  <c r="F130" i="2" s="1"/>
  <c r="F131" i="2" a="1"/>
  <c r="F131" i="2" s="1"/>
  <c r="F132" i="2" a="1"/>
  <c r="F132" i="2" s="1"/>
  <c r="F133" i="2" a="1"/>
  <c r="F133" i="2" s="1"/>
  <c r="F134" i="2" a="1"/>
  <c r="F134" i="2" s="1"/>
  <c r="F135" i="2" a="1"/>
  <c r="F135" i="2" s="1"/>
  <c r="F136" i="2" a="1"/>
  <c r="F136" i="2" s="1"/>
  <c r="F137" i="2" a="1"/>
  <c r="F137" i="2" s="1"/>
  <c r="F138" i="2" a="1"/>
  <c r="F138" i="2" s="1"/>
  <c r="F139" i="2" a="1"/>
  <c r="F139" i="2" s="1"/>
  <c r="F140" i="2" a="1"/>
  <c r="F140" i="2" s="1"/>
  <c r="F141" i="2" a="1"/>
  <c r="F141" i="2" s="1"/>
  <c r="F143" i="2" a="1"/>
  <c r="F143" i="2" s="1"/>
  <c r="F144" i="2" a="1"/>
  <c r="F144" i="2" s="1"/>
  <c r="F145" i="2" a="1"/>
  <c r="F145" i="2" s="1"/>
  <c r="F146" i="2" a="1"/>
  <c r="F146" i="2" s="1"/>
  <c r="F147" i="2" a="1"/>
  <c r="F147" i="2" s="1"/>
  <c r="F148" i="2" a="1"/>
  <c r="F148" i="2" s="1"/>
  <c r="F149" i="2" a="1"/>
  <c r="F149" i="2" s="1"/>
  <c r="F150" i="2" a="1"/>
  <c r="F150" i="2" s="1"/>
  <c r="F152" i="2" a="1"/>
  <c r="F152" i="2" s="1"/>
  <c r="F153" i="2" a="1"/>
  <c r="F153" i="2" s="1"/>
  <c r="F154" i="2" a="1"/>
  <c r="F154" i="2" s="1"/>
  <c r="F155" i="2" a="1"/>
  <c r="F155" i="2" s="1"/>
  <c r="F156" i="2" a="1"/>
  <c r="F156" i="2" s="1"/>
  <c r="F158" i="2" a="1"/>
  <c r="F158" i="2" s="1"/>
  <c r="F159" i="2" a="1"/>
  <c r="F159" i="2" s="1"/>
  <c r="F160" i="2" a="1"/>
  <c r="F160" i="2" s="1"/>
  <c r="F161" i="2" a="1"/>
  <c r="F161" i="2" s="1"/>
  <c r="F162" i="2" a="1"/>
  <c r="F162" i="2" s="1"/>
  <c r="F163" i="2" a="1"/>
  <c r="F163" i="2" s="1"/>
  <c r="F164" i="2" a="1"/>
  <c r="F164" i="2" s="1"/>
  <c r="F165" i="2" a="1"/>
  <c r="F165" i="2" s="1"/>
  <c r="F166" i="2" a="1"/>
  <c r="F166" i="2" s="1"/>
  <c r="F167" i="2" a="1"/>
  <c r="F167" i="2" s="1"/>
  <c r="F168" i="2" a="1"/>
  <c r="F168" i="2" s="1"/>
  <c r="F169" i="2" a="1"/>
  <c r="F169" i="2" s="1"/>
  <c r="F170" i="2" a="1"/>
  <c r="F170" i="2" s="1"/>
  <c r="F171" i="2" a="1"/>
  <c r="F171" i="2" s="1"/>
  <c r="F172" i="2" a="1"/>
  <c r="F172" i="2" s="1"/>
  <c r="F173" i="2" a="1"/>
  <c r="F173" i="2" s="1"/>
  <c r="F174" i="2" a="1"/>
  <c r="F174" i="2" s="1"/>
  <c r="F175" i="2" a="1"/>
  <c r="F175" i="2" s="1"/>
  <c r="F176" i="2" a="1"/>
  <c r="F176" i="2" s="1"/>
  <c r="F178" i="2" a="1"/>
  <c r="F178" i="2" s="1"/>
  <c r="F179" i="2" a="1"/>
  <c r="F179" i="2" s="1"/>
  <c r="F180" i="2" a="1"/>
  <c r="F180" i="2" s="1"/>
  <c r="F181" i="2" a="1"/>
  <c r="F181" i="2" s="1"/>
  <c r="F182" i="2" a="1"/>
  <c r="F182" i="2" s="1"/>
  <c r="F183" i="2" a="1"/>
  <c r="F183" i="2" s="1"/>
  <c r="F184" i="2" a="1"/>
  <c r="F184" i="2" s="1"/>
  <c r="F186" i="2" a="1"/>
  <c r="F186" i="2" s="1"/>
  <c r="F187" i="2" a="1"/>
  <c r="F187" i="2" s="1"/>
  <c r="F188" i="2" a="1"/>
  <c r="F188" i="2" s="1"/>
  <c r="F189" i="2" a="1"/>
  <c r="F189" i="2" s="1"/>
  <c r="F190" i="2" a="1"/>
  <c r="F190" i="2" s="1"/>
  <c r="F192" i="2" a="1"/>
  <c r="F192" i="2" s="1"/>
  <c r="F194" i="2" a="1"/>
  <c r="F194" i="2" s="1"/>
  <c r="F195" i="2" a="1"/>
  <c r="F195" i="2" s="1"/>
  <c r="F196" i="2" a="1"/>
  <c r="F196" i="2" s="1"/>
  <c r="F197" i="2" a="1"/>
  <c r="F197" i="2" s="1"/>
  <c r="F198" i="2" a="1"/>
  <c r="F198" i="2" s="1"/>
  <c r="F199" i="2" a="1"/>
  <c r="F199" i="2" s="1"/>
  <c r="F200" i="2" a="1"/>
  <c r="F200" i="2" s="1"/>
  <c r="F201" i="2" a="1"/>
  <c r="F201" i="2" s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<sst xmlns="http://schemas.openxmlformats.org/spreadsheetml/2006/main" count="853" uniqueCount="253">
  <si>
    <t>PatientID</t>
  </si>
  <si>
    <t>Name</t>
  </si>
  <si>
    <t>Age</t>
  </si>
  <si>
    <t>Gender</t>
  </si>
  <si>
    <t>DiagnosisID</t>
  </si>
  <si>
    <t>AdmissionDate</t>
  </si>
  <si>
    <t>DischargeDate</t>
  </si>
  <si>
    <t>OutcomeID</t>
  </si>
  <si>
    <t>TreatmentCost</t>
  </si>
  <si>
    <t>Edward Montes</t>
  </si>
  <si>
    <t>M</t>
  </si>
  <si>
    <t>Jessica Zimmerman</t>
  </si>
  <si>
    <t>Gina Alexander</t>
  </si>
  <si>
    <t>Lori Green</t>
  </si>
  <si>
    <t>F</t>
  </si>
  <si>
    <t>Jack Logan</t>
  </si>
  <si>
    <t>Melinda Robinson</t>
  </si>
  <si>
    <t>Sherry Robinson</t>
  </si>
  <si>
    <t>James Watts</t>
  </si>
  <si>
    <t>Jeanne Butler</t>
  </si>
  <si>
    <t>Benjamin Rogers</t>
  </si>
  <si>
    <t>Carol Sanchez</t>
  </si>
  <si>
    <t>Stacy Clark</t>
  </si>
  <si>
    <t>Kimberly Chase</t>
  </si>
  <si>
    <t>Cody Ryan</t>
  </si>
  <si>
    <t>Kimberly Alexander</t>
  </si>
  <si>
    <t>Olivia Roy</t>
  </si>
  <si>
    <t>Sabrina Medina</t>
  </si>
  <si>
    <t>Jennifer Wright</t>
  </si>
  <si>
    <t>Christian Lynch</t>
  </si>
  <si>
    <t>Jorge Castillo</t>
  </si>
  <si>
    <t>Nicholas Wilcox</t>
  </si>
  <si>
    <t>Toni Gomez</t>
  </si>
  <si>
    <t>Emily King</t>
  </si>
  <si>
    <t>Jordan Harris</t>
  </si>
  <si>
    <t>Adriana Rogers</t>
  </si>
  <si>
    <t>Samuel Thompson</t>
  </si>
  <si>
    <t>Brenda Huber</t>
  </si>
  <si>
    <t>Brett Washington</t>
  </si>
  <si>
    <t>Katherine Gonzales</t>
  </si>
  <si>
    <t>Jacqueline Bauer</t>
  </si>
  <si>
    <t>Brittany Walker</t>
  </si>
  <si>
    <t>Tommy Atkinson</t>
  </si>
  <si>
    <t>Miss Kathryn Mitchell</t>
  </si>
  <si>
    <t>Steven Morales</t>
  </si>
  <si>
    <t>Anthony Frederick</t>
  </si>
  <si>
    <t>Beverly Dillon</t>
  </si>
  <si>
    <t>Monica Walker</t>
  </si>
  <si>
    <t>Russell Small</t>
  </si>
  <si>
    <t>Matthew Rios</t>
  </si>
  <si>
    <t>Nicole Vargas</t>
  </si>
  <si>
    <t>Richard Hill</t>
  </si>
  <si>
    <t>Bonnie Herman</t>
  </si>
  <si>
    <t>Nicholas Wright</t>
  </si>
  <si>
    <t>Kelsey Sanchez</t>
  </si>
  <si>
    <t>Deborah Little</t>
  </si>
  <si>
    <t>Mrs. Carol Andrade</t>
  </si>
  <si>
    <t>Carlos Gutierrez</t>
  </si>
  <si>
    <t>Casey Schneider</t>
  </si>
  <si>
    <t>Lisa Frazier</t>
  </si>
  <si>
    <t>Katie Lawson</t>
  </si>
  <si>
    <t>Mary Johnson</t>
  </si>
  <si>
    <t>Michael Maxwell</t>
  </si>
  <si>
    <t>Patrick Mccormick</t>
  </si>
  <si>
    <t>Bruce Jones</t>
  </si>
  <si>
    <t>Austin Huffman</t>
  </si>
  <si>
    <t>Heather Peterson</t>
  </si>
  <si>
    <t>Justin Keller</t>
  </si>
  <si>
    <t>Robert Aguirre</t>
  </si>
  <si>
    <t>Christopher Hoffman</t>
  </si>
  <si>
    <t>Tamara Pacheco</t>
  </si>
  <si>
    <t>Jared Hughes</t>
  </si>
  <si>
    <t>Samantha Peck</t>
  </si>
  <si>
    <t>Jared Jacobs</t>
  </si>
  <si>
    <t>Rachel Johnson</t>
  </si>
  <si>
    <t>Lauren Skinner</t>
  </si>
  <si>
    <t>Tina Rodriguez PhD</t>
  </si>
  <si>
    <t>Shirley Spencer</t>
  </si>
  <si>
    <t>Daniel Livingston</t>
  </si>
  <si>
    <t>Stephen Wright</t>
  </si>
  <si>
    <t>James Leblanc</t>
  </si>
  <si>
    <t>John Dawson</t>
  </si>
  <si>
    <t>Sharon Miller</t>
  </si>
  <si>
    <t>Rhonda Nichols</t>
  </si>
  <si>
    <t>William Mclaughlin</t>
  </si>
  <si>
    <t>Melissa Edwards</t>
  </si>
  <si>
    <t>Joshua Shaw</t>
  </si>
  <si>
    <t>Yolanda Tucker</t>
  </si>
  <si>
    <t>Sarah Anderson</t>
  </si>
  <si>
    <t>Meagan Larson</t>
  </si>
  <si>
    <t>Kelly Huffman</t>
  </si>
  <si>
    <t>Sarah Rivas</t>
  </si>
  <si>
    <t>Erica Mills</t>
  </si>
  <si>
    <t>Theodore Oliver</t>
  </si>
  <si>
    <t>Linda Mitchell</t>
  </si>
  <si>
    <t>Jason Harrington</t>
  </si>
  <si>
    <t>Kim Salas DDS</t>
  </si>
  <si>
    <t>Patrick Cantu</t>
  </si>
  <si>
    <t>Brenda Evans</t>
  </si>
  <si>
    <t>Christopher Burch</t>
  </si>
  <si>
    <t>Stephanie Beard</t>
  </si>
  <si>
    <t>James Boyer</t>
  </si>
  <si>
    <t>Julie Rhodes</t>
  </si>
  <si>
    <t>Jennifer Howard</t>
  </si>
  <si>
    <t>Anthony Rodriguez</t>
  </si>
  <si>
    <t>Alexander Rodgers</t>
  </si>
  <si>
    <t>Joshua Riley</t>
  </si>
  <si>
    <t>Dennis Lynch</t>
  </si>
  <si>
    <t>Amanda Rivera</t>
  </si>
  <si>
    <t>Mark Miller</t>
  </si>
  <si>
    <t>Cindy Rivas</t>
  </si>
  <si>
    <t>Kenneth Holden</t>
  </si>
  <si>
    <t>Veronica Beard</t>
  </si>
  <si>
    <t>Jordan Perry</t>
  </si>
  <si>
    <t>Jaime Jacobs</t>
  </si>
  <si>
    <t>Brenda Hines</t>
  </si>
  <si>
    <t>Nancy Weber</t>
  </si>
  <si>
    <t>Angela Schneider</t>
  </si>
  <si>
    <t>Richard Osborne</t>
  </si>
  <si>
    <t>Autumn Garrett</t>
  </si>
  <si>
    <t>Patrick Webb</t>
  </si>
  <si>
    <t>Mrs. Amanda Bright MD</t>
  </si>
  <si>
    <t>Anthony Marshall</t>
  </si>
  <si>
    <t>Kevin Vaughn</t>
  </si>
  <si>
    <t>Dawn Hicks</t>
  </si>
  <si>
    <t>Jeffrey Norris</t>
  </si>
  <si>
    <t>Antonio Ruiz</t>
  </si>
  <si>
    <t>Sarah Mason</t>
  </si>
  <si>
    <t>Nicholas Lee</t>
  </si>
  <si>
    <t>Dr. Edward Hebert</t>
  </si>
  <si>
    <t>Sara Huffman</t>
  </si>
  <si>
    <t>Ashley Rodriguez</t>
  </si>
  <si>
    <t>Jennifer Ramirez</t>
  </si>
  <si>
    <t>Amanda Richardson</t>
  </si>
  <si>
    <t>Jake Bryan</t>
  </si>
  <si>
    <t>James Barron</t>
  </si>
  <si>
    <t>Carmen Rosales</t>
  </si>
  <si>
    <t>Joseph Medina</t>
  </si>
  <si>
    <t>Nancy Mcmahon</t>
  </si>
  <si>
    <t>Lindsey Vargas</t>
  </si>
  <si>
    <t>Rhonda Nguyen</t>
  </si>
  <si>
    <t>Charles Martin</t>
  </si>
  <si>
    <t>Christina Curtis</t>
  </si>
  <si>
    <t>Mary Jones</t>
  </si>
  <si>
    <t>Christopher Miller</t>
  </si>
  <si>
    <t>Brian Brown</t>
  </si>
  <si>
    <t>Amanda Mason</t>
  </si>
  <si>
    <t>Jordan Rodgers</t>
  </si>
  <si>
    <t>Jessica Watson</t>
  </si>
  <si>
    <t>Edward Thornton</t>
  </si>
  <si>
    <t>Randy Gutierrez</t>
  </si>
  <si>
    <t>Victoria Cole</t>
  </si>
  <si>
    <t>Tracy Chavez</t>
  </si>
  <si>
    <t>Kimberly Gregory</t>
  </si>
  <si>
    <t>William Webb</t>
  </si>
  <si>
    <t>Donna Peterson</t>
  </si>
  <si>
    <t>Jessica Long</t>
  </si>
  <si>
    <t>Jamie Williams</t>
  </si>
  <si>
    <t>Guy Shepard</t>
  </si>
  <si>
    <t>Karen Mcbride</t>
  </si>
  <si>
    <t>Jeffery House</t>
  </si>
  <si>
    <t>Natalie Skinner</t>
  </si>
  <si>
    <t>Devin James</t>
  </si>
  <si>
    <t>Tami Warner</t>
  </si>
  <si>
    <t>Mrs. Carol Chambers</t>
  </si>
  <si>
    <t>Traci Reyes</t>
  </si>
  <si>
    <t>Rhonda Robertson</t>
  </si>
  <si>
    <t>Tracy Wood</t>
  </si>
  <si>
    <t>Shannon Stewart</t>
  </si>
  <si>
    <t>Juan Malone</t>
  </si>
  <si>
    <t>Kristin Chapman</t>
  </si>
  <si>
    <t>Ann Adams</t>
  </si>
  <si>
    <t>Jesus Coleman</t>
  </si>
  <si>
    <t>Shawn Burke</t>
  </si>
  <si>
    <t>Ruth Strong</t>
  </si>
  <si>
    <t>Michael Warren</t>
  </si>
  <si>
    <t>Raymond Chavez</t>
  </si>
  <si>
    <t>Scott Peterson</t>
  </si>
  <si>
    <t>Frank Reid</t>
  </si>
  <si>
    <t>Shawna Webb</t>
  </si>
  <si>
    <t>Gregory Murphy</t>
  </si>
  <si>
    <t>Timothy Greene</t>
  </si>
  <si>
    <t>Kimberly Brady</t>
  </si>
  <si>
    <t>Mary Fowler</t>
  </si>
  <si>
    <t>Alexander Bradshaw</t>
  </si>
  <si>
    <t>Jonathan Baird</t>
  </si>
  <si>
    <t>Rebecca Baker</t>
  </si>
  <si>
    <t>Jennifer Sanchez</t>
  </si>
  <si>
    <t>Rebecca Castaneda</t>
  </si>
  <si>
    <t>Darren Scott</t>
  </si>
  <si>
    <t>Nicole Hall</t>
  </si>
  <si>
    <t>Gary Wade</t>
  </si>
  <si>
    <t>Kristen Wood</t>
  </si>
  <si>
    <t>Sean Valenzuela</t>
  </si>
  <si>
    <t>James Smith</t>
  </si>
  <si>
    <t>Marcus Adams</t>
  </si>
  <si>
    <t>Melissa Torres</t>
  </si>
  <si>
    <t>Robert Wade</t>
  </si>
  <si>
    <t>Benjamin White</t>
  </si>
  <si>
    <t>James Jacobs</t>
  </si>
  <si>
    <t>Kristin Underwood</t>
  </si>
  <si>
    <t>David Moore</t>
  </si>
  <si>
    <t>Francisco Lester</t>
  </si>
  <si>
    <t>Nicholas Jennings</t>
  </si>
  <si>
    <t>Andrew Hawkins</t>
  </si>
  <si>
    <t>Jonathan Potter</t>
  </si>
  <si>
    <t>Shelly Dominguez</t>
  </si>
  <si>
    <t>Destiny Johnson</t>
  </si>
  <si>
    <t>Catherine Case</t>
  </si>
  <si>
    <t>Dennis Wolfe</t>
  </si>
  <si>
    <t>Gregory Bates</t>
  </si>
  <si>
    <t>LabID</t>
  </si>
  <si>
    <t>TestName</t>
  </si>
  <si>
    <t>Result</t>
  </si>
  <si>
    <t>NormalRange</t>
  </si>
  <si>
    <t>Blood Pressure</t>
  </si>
  <si>
    <t>150-200</t>
  </si>
  <si>
    <t>Cholesterol</t>
  </si>
  <si>
    <t>13-17</t>
  </si>
  <si>
    <t>0.6-1.2</t>
  </si>
  <si>
    <t>Blood Sugar</t>
  </si>
  <si>
    <t>120/80</t>
  </si>
  <si>
    <t>Creatinine</t>
  </si>
  <si>
    <t>Hemoglobin</t>
  </si>
  <si>
    <t>20-50</t>
  </si>
  <si>
    <t>Vitamin D</t>
  </si>
  <si>
    <t>70-120</t>
  </si>
  <si>
    <t>OutcomeName</t>
  </si>
  <si>
    <t>Recovered</t>
  </si>
  <si>
    <t>Complicated</t>
  </si>
  <si>
    <t>Deceased</t>
  </si>
  <si>
    <t>DiagnosisName</t>
  </si>
  <si>
    <t>Hypertension</t>
  </si>
  <si>
    <t>Diabetes</t>
  </si>
  <si>
    <t>Heart Disease</t>
  </si>
  <si>
    <t>Asthma</t>
  </si>
  <si>
    <t>Stroke</t>
  </si>
  <si>
    <t>COPD</t>
  </si>
  <si>
    <t>Cancer</t>
  </si>
  <si>
    <t>Arthritis</t>
  </si>
  <si>
    <t>Kidney Disease</t>
  </si>
  <si>
    <t>Liver Disease</t>
  </si>
  <si>
    <t>Dignosis name</t>
  </si>
  <si>
    <t xml:space="preserve">outcomename </t>
  </si>
  <si>
    <t>Days of digno</t>
  </si>
  <si>
    <t>Abnormal blood sugar flage</t>
  </si>
  <si>
    <t>LOW limit</t>
  </si>
  <si>
    <t>High limit</t>
  </si>
  <si>
    <t xml:space="preserve">risk raet </t>
  </si>
  <si>
    <t>Row Labels</t>
  </si>
  <si>
    <t>Grand Total</t>
  </si>
  <si>
    <t>Sum of TreatmentCost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</si>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</sst>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1" xfId="0" applyFill="1" applyBorder="1"/>
    <xf numFmtId="2" fontId="0" fillId="0" borderId="1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[patients_master sheet.xlsx]Sheet4!PivotTable2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Sheet4!$A$4:$A$14</c:f>
              <c:strCache>
                <c:ptCount val="10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COPD</c:v>
                </c:pt>
                <c:pt idx="4">
                  <c:v>Diabetes</c:v>
                </c:pt>
                <c:pt idx="5">
                  <c:v>Heart Disease</c:v>
                </c:pt>
                <c:pt idx="6">
                  <c:v>Hypertension</c:v>
                </c:pt>
                <c:pt idx="7">
                  <c:v>Kidney Disease</c:v>
                </c:pt>
                <c:pt idx="8">
                  <c:v>Liver Disease</c:v>
                </c:pt>
                <c:pt idx="9">
                  <c:v>Stroke</c:v>
                </c:pt>
              </c:strCache>
            </c:strRef>
          </c:cat>
          <c:val>
            <c:numRef>
              <c:f>Sheet4!$B$4:$B$14</c:f>
              <c:numCache>
                <c:formatCode>General</c:formatCode>
                <c:ptCount val="10"/>
                <c:pt idx="0">
                  <c:v>113539</c:v>
                </c:pt>
                <c:pt idx="1">
                  <c:v>103544</c:v>
                </c:pt>
                <c:pt idx="2">
                  <c:v>112219</c:v>
                </c:pt>
                <c:pt idx="3">
                  <c:v>110654</c:v>
                </c:pt>
                <c:pt idx="4">
                  <c:v>104604</c:v>
                </c:pt>
                <c:pt idx="5">
                  <c:v>149681</c:v>
                </c:pt>
                <c:pt idx="6">
                  <c:v>163926</c:v>
                </c:pt>
                <c:pt idx="7">
                  <c:v>63290</c:v>
                </c:pt>
                <c:pt idx="8">
                  <c:v>155376</c:v>
                </c:pt>
                <c:pt idx="9">
                  <c:v>144149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AB-42A2-AE42-512806502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065376"/>
        <c:axId val="439064416"/>
      </c:barChart>
      <c:catAx>
        <c:axId val="43906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64416"/>
        <c:crosses val="autoZero"/>
        <c:auto val="1"/>
        <c:lblAlgn val="ctr"/>
        <c:lblOffset val="100"/>
        <c:noMultiLvlLbl val="0"/>
      </c:catAx>
      <c:valAx>
        <c:axId val="43906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6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14</xdr:row>
      <xdr:rowOff>28575</xdr:rowOff>
    </xdr:from>
    <xdr:to>
      <xdr:col>4</xdr:col>
      <xdr:colOff>423862</xdr:colOff>
      <xdr:row>30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590E5C-072F-5861-221C-F40F210D5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key" refreshedDate="46164.681764930552" createdVersion="8" refreshedVersion="8" minRefreshableVersion="3" recordCount="200" xr:uid="{DF5356D1-53E1-4EE4-A36B-EF644277C575}">
  <cacheSource type="worksheet">
    <worksheetSource ref="A1:N201" sheet="patients"/>
  </cacheSource>
  <cacheFields count="14">
    <cacheField name="PatientID" numFmtId="0">
      <sharedItems containsSemiMixedTypes="0" containsString="0" containsNumber="1" containsInteger="1" minValue="1" maxValue="200" count="2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</sharedItems>
    </cacheField>
    <cacheField name="Name" numFmtId="0">
      <sharedItems count="200">
        <s v="Edward Montes"/>
        <s v="Jessica Zimmerman"/>
        <s v="Gina Alexander"/>
        <s v="Lori Green"/>
        <s v="Jack Logan"/>
        <s v="Melinda Robinson"/>
        <s v="Sherry Robinson"/>
        <s v="James Watts"/>
        <s v="Jeanne Butler"/>
        <s v="Benjamin Rogers"/>
        <s v="Carol Sanchez"/>
        <s v="Stacy Clark"/>
        <s v="Kimberly Chase"/>
        <s v="Cody Ryan"/>
        <s v="Kimberly Alexander"/>
        <s v="Olivia Roy"/>
        <s v="Sabrina Medina"/>
        <s v="Jennifer Wright"/>
        <s v="Christian Lynch"/>
        <s v="Jorge Castillo"/>
        <s v="Nicholas Wilcox"/>
        <s v="Toni Gomez"/>
        <s v="Emily King"/>
        <s v="Jordan Harris"/>
        <s v="Adriana Rogers"/>
        <s v="Samuel Thompson"/>
        <s v="Brenda Huber"/>
        <s v="Brett Washington"/>
        <s v="Katherine Gonzales"/>
        <s v="Jacqueline Bauer"/>
        <s v="Brittany Walker"/>
        <s v="Tommy Atkinson"/>
        <s v="Miss Kathryn Mitchell"/>
        <s v="Steven Morales"/>
        <s v="Anthony Frederick"/>
        <s v="Beverly Dillon"/>
        <s v="Monica Walker"/>
        <s v="Russell Small"/>
        <s v="Matthew Rios"/>
        <s v="Nicole Vargas"/>
        <s v="Richard Hill"/>
        <s v="Bonnie Herman"/>
        <s v="Nicholas Wright"/>
        <s v="Kelsey Sanchez"/>
        <s v="Deborah Little"/>
        <s v="Mrs. Carol Andrade"/>
        <s v="Carlos Gutierrez"/>
        <s v="Casey Schneider"/>
        <s v="Lisa Frazier"/>
        <s v="Katie Lawson"/>
        <s v="Mary Johnson"/>
        <s v="Michael Maxwell"/>
        <s v="Patrick Mccormick"/>
        <s v="Bruce Jones"/>
        <s v="Austin Huffman"/>
        <s v="Heather Peterson"/>
        <s v="Justin Keller"/>
        <s v="Robert Aguirre"/>
        <s v="Christopher Hoffman"/>
        <s v="Tamara Pacheco"/>
        <s v="Jared Hughes"/>
        <s v="Samantha Peck"/>
        <s v="Jared Jacobs"/>
        <s v="Rachel Johnson"/>
        <s v="Lauren Skinner"/>
        <s v="Tina Rodriguez PhD"/>
        <s v="Shirley Spencer"/>
        <s v="Daniel Livingston"/>
        <s v="Stephen Wright"/>
        <s v="James Leblanc"/>
        <s v="John Dawson"/>
        <s v="Sharon Miller"/>
        <s v="Rhonda Nichols"/>
        <s v="William Mclaughlin"/>
        <s v="Melissa Edwards"/>
        <s v="Joshua Shaw"/>
        <s v="Yolanda Tucker"/>
        <s v="Sarah Anderson"/>
        <s v="Meagan Larson"/>
        <s v="Kelly Huffman"/>
        <s v="Sarah Rivas"/>
        <s v="Erica Mills"/>
        <s v="Theodore Oliver"/>
        <s v="Linda Mitchell"/>
        <s v="Jason Harrington"/>
        <s v="Kim Salas DDS"/>
        <s v="Patrick Cantu"/>
        <s v="Brenda Evans"/>
        <s v="Christopher Burch"/>
        <s v="Stephanie Beard"/>
        <s v="James Boyer"/>
        <s v="Julie Rhodes"/>
        <s v="Jennifer Howard"/>
        <s v="Anthony Rodriguez"/>
        <s v="Alexander Rodgers"/>
        <s v="Joshua Riley"/>
        <s v="Dennis Lynch"/>
        <s v="Amanda Rivera"/>
        <s v="Mark Miller"/>
        <s v="Cindy Rivas"/>
        <s v="Kenneth Holden"/>
        <s v="Veronica Beard"/>
        <s v="Jordan Perry"/>
        <s v="Jaime Jacobs"/>
        <s v="Brenda Hines"/>
        <s v="Nancy Weber"/>
        <s v="Angela Schneider"/>
        <s v="Richard Osborne"/>
        <s v="Autumn Garrett"/>
        <s v="Patrick Webb"/>
        <s v="Mrs. Amanda Bright MD"/>
        <s v="Anthony Marshall"/>
        <s v="Kevin Vaughn"/>
        <s v="Dawn Hicks"/>
        <s v="Jeffrey Norris"/>
        <s v="Antonio Ruiz"/>
        <s v="Sarah Mason"/>
        <s v="Nicholas Lee"/>
        <s v="Dr. Edward Hebert"/>
        <s v="Sara Huffman"/>
        <s v="Ashley Rodriguez"/>
        <s v="Jennifer Ramirez"/>
        <s v="Amanda Richardson"/>
        <s v="Jake Bryan"/>
        <s v="James Barron"/>
        <s v="Carmen Rosales"/>
        <s v="Joseph Medina"/>
        <s v="Nancy Mcmahon"/>
        <s v="Lindsey Vargas"/>
        <s v="Rhonda Nguyen"/>
        <s v="Charles Martin"/>
        <s v="Christina Curtis"/>
        <s v="Mary Jones"/>
        <s v="Christopher Miller"/>
        <s v="Brian Brown"/>
        <s v="Amanda Mason"/>
        <s v="Jordan Rodgers"/>
        <s v="Jessica Watson"/>
        <s v="Edward Thornton"/>
        <s v="Randy Gutierrez"/>
        <s v="Victoria Cole"/>
        <s v="Tracy Chavez"/>
        <s v="Kimberly Gregory"/>
        <s v="William Webb"/>
        <s v="Donna Peterson"/>
        <s v="Jessica Long"/>
        <s v="Jamie Williams"/>
        <s v="Guy Shepard"/>
        <s v="Karen Mcbride"/>
        <s v="Jeffery House"/>
        <s v="Natalie Skinner"/>
        <s v="Devin James"/>
        <s v="Tami Warner"/>
        <s v="Mrs. Carol Chambers"/>
        <s v="Traci Reyes"/>
        <s v="Rhonda Robertson"/>
        <s v="Tracy Wood"/>
        <s v="Shannon Stewart"/>
        <s v="Juan Malone"/>
        <s v="Kristin Chapman"/>
        <s v="Ann Adams"/>
        <s v="Jesus Coleman"/>
        <s v="Shawn Burke"/>
        <s v="Ruth Strong"/>
        <s v="Michael Warren"/>
        <s v="Raymond Chavez"/>
        <s v="Scott Peterson"/>
        <s v="Frank Reid"/>
        <s v="Shawna Webb"/>
        <s v="Gregory Murphy"/>
        <s v="Timothy Greene"/>
        <s v="Kimberly Brady"/>
        <s v="Mary Fowler"/>
        <s v="Alexander Bradshaw"/>
        <s v="Jonathan Baird"/>
        <s v="Rebecca Baker"/>
        <s v="Jennifer Sanchez"/>
        <s v="Rebecca Castaneda"/>
        <s v="Darren Scott"/>
        <s v="Nicole Hall"/>
        <s v="Gary Wade"/>
        <s v="Kristen Wood"/>
        <s v="Sean Valenzuela"/>
        <s v="James Smith"/>
        <s v="Marcus Adams"/>
        <s v="Melissa Torres"/>
        <s v="Robert Wade"/>
        <s v="Benjamin White"/>
        <s v="James Jacobs"/>
        <s v="Kristin Underwood"/>
        <s v="David Moore"/>
        <s v="Francisco Lester"/>
        <s v="Nicholas Jennings"/>
        <s v="Andrew Hawkins"/>
        <s v="Jonathan Potter"/>
        <s v="Shelly Dominguez"/>
        <s v="Destiny Johnson"/>
        <s v="Catherine Case"/>
        <s v="Dennis Wolfe"/>
        <s v="Gregory Bates"/>
      </sharedItems>
    </cacheField>
    <cacheField name="Age" numFmtId="0">
      <sharedItems containsSemiMixedTypes="0" containsString="0" containsNumber="1" containsInteger="1" minValue="30" maxValue="89" count="58">
        <n v="68"/>
        <n v="81"/>
        <n v="58"/>
        <n v="44"/>
        <n v="72"/>
        <n v="37"/>
        <n v="50"/>
        <n v="87"/>
        <n v="48"/>
        <n v="52"/>
        <n v="40"/>
        <n v="53"/>
        <n v="82"/>
        <n v="65"/>
        <n v="69"/>
        <n v="32"/>
        <n v="51"/>
        <n v="31"/>
        <n v="73"/>
        <n v="59"/>
        <n v="67"/>
        <n v="89"/>
        <n v="62"/>
        <n v="41"/>
        <n v="54"/>
        <n v="78"/>
        <n v="56"/>
        <n v="88"/>
        <n v="71"/>
        <n v="57"/>
        <n v="45"/>
        <n v="76"/>
        <n v="80"/>
        <n v="84"/>
        <n v="86"/>
        <n v="66"/>
        <n v="36"/>
        <n v="38"/>
        <n v="47"/>
        <n v="33"/>
        <n v="43"/>
        <n v="79"/>
        <n v="55"/>
        <n v="49"/>
        <n v="64"/>
        <n v="46"/>
        <n v="35"/>
        <n v="83"/>
        <n v="63"/>
        <n v="39"/>
        <n v="60"/>
        <n v="77"/>
        <n v="74"/>
        <n v="70"/>
        <n v="30"/>
        <n v="34"/>
        <n v="42"/>
        <n v="61"/>
      </sharedItems>
    </cacheField>
    <cacheField name="Gender" numFmtId="0">
      <sharedItems/>
    </cacheField>
    <cacheField name="DiagnosisID" numFmtId="0">
      <sharedItems containsSemiMixedTypes="0" containsString="0" containsNumber="1" containsInteger="1" minValue="1" maxValue="10"/>
    </cacheField>
    <cacheField name="AdmissionDate" numFmtId="14">
      <sharedItems containsSemiMixedTypes="0" containsNonDate="0" containsDate="1" containsString="0" minDate="2025-01-01T00:00:00" maxDate="2025-07-01T00:00:00"/>
    </cacheField>
    <cacheField name="DischargeDate" numFmtId="14">
      <sharedItems containsSemiMixedTypes="0" containsNonDate="0" containsDate="1" containsString="0" minDate="2025-01-14T00:00:00" maxDate="2025-07-11T00:00:00"/>
    </cacheField>
    <cacheField name="OutcomeID" numFmtId="0">
      <sharedItems containsSemiMixedTypes="0" containsString="0" containsNumber="1" containsInteger="1" minValue="1" maxValue="3" count="3">
        <n v="1"/>
        <n v="2"/>
        <n v="3"/>
      </sharedItems>
    </cacheField>
    <cacheField name="TreatmentCost" numFmtId="0">
      <sharedItems containsSemiMixedTypes="0" containsString="0" containsNumber="1" containsInteger="1" minValue="2054" maxValue="9973" count="196">
        <n v="4443"/>
        <n v="4265"/>
        <n v="4188"/>
        <n v="9783"/>
        <n v="5005"/>
        <n v="5281"/>
        <n v="2984"/>
        <n v="9136"/>
        <n v="9790"/>
        <n v="3639"/>
        <n v="2827"/>
        <n v="4730"/>
        <n v="5531"/>
        <n v="9147"/>
        <n v="6451"/>
        <n v="9151"/>
        <n v="7443"/>
        <n v="9300"/>
        <n v="4935"/>
        <n v="5876"/>
        <n v="7959"/>
        <n v="2126"/>
        <n v="5177"/>
        <n v="5056"/>
        <n v="2603"/>
        <n v="9966"/>
        <n v="5449"/>
        <n v="8024"/>
        <n v="7109"/>
        <n v="6146"/>
        <n v="9196"/>
        <n v="5533"/>
        <n v="5367"/>
        <n v="5368"/>
        <n v="5797"/>
        <n v="8922"/>
        <n v="7526"/>
        <n v="3792"/>
        <n v="4861"/>
        <n v="7732"/>
        <n v="5476"/>
        <n v="5417"/>
        <n v="3645"/>
        <n v="8563"/>
        <n v="3205"/>
        <n v="5030"/>
        <n v="4872"/>
        <n v="5072"/>
        <n v="3854"/>
        <n v="6021"/>
        <n v="6662"/>
        <n v="8514"/>
        <n v="7031"/>
        <n v="8030"/>
        <n v="4708"/>
        <n v="5502"/>
        <n v="9112"/>
        <n v="3332"/>
        <n v="9304"/>
        <n v="2201"/>
        <n v="5507"/>
        <n v="8456"/>
        <n v="6212"/>
        <n v="9833"/>
        <n v="7032"/>
        <n v="9970"/>
        <n v="2574"/>
        <n v="8387"/>
        <n v="2536"/>
        <n v="3625"/>
        <n v="4122"/>
        <n v="9973"/>
        <n v="2385"/>
        <n v="2474"/>
        <n v="2417"/>
        <n v="8490"/>
        <n v="5600"/>
        <n v="8783"/>
        <n v="7034"/>
        <n v="2954"/>
        <n v="6971"/>
        <n v="6858"/>
        <n v="7298"/>
        <n v="6759"/>
        <n v="6120"/>
        <n v="3990"/>
        <n v="7299"/>
        <n v="6805"/>
        <n v="5572"/>
        <n v="7975"/>
        <n v="7280"/>
        <n v="8320"/>
        <n v="6380"/>
        <n v="6158"/>
        <n v="7098"/>
        <n v="6757"/>
        <n v="4713"/>
        <n v="4203"/>
        <n v="7588"/>
        <n v="5120"/>
        <n v="2966"/>
        <n v="6944"/>
        <n v="7203"/>
        <n v="5432"/>
        <n v="2688"/>
        <n v="6243"/>
        <n v="5701"/>
        <n v="2341"/>
        <n v="8619"/>
        <n v="7182"/>
        <n v="3724"/>
        <n v="7479"/>
        <n v="8704"/>
        <n v="6422"/>
        <n v="3759"/>
        <n v="5212"/>
        <n v="2989"/>
        <n v="4262"/>
        <n v="4482"/>
        <n v="2951"/>
        <n v="2722"/>
        <n v="5389"/>
        <n v="4079"/>
        <n v="4717"/>
        <n v="4332"/>
        <n v="5376"/>
        <n v="6524"/>
        <n v="3500"/>
        <n v="2285"/>
        <n v="9311"/>
        <n v="5495"/>
        <n v="9186"/>
        <n v="4065"/>
        <n v="2768"/>
        <n v="8733"/>
        <n v="7490"/>
        <n v="9342"/>
        <n v="5057"/>
        <n v="6289"/>
        <n v="8645"/>
        <n v="7083"/>
        <n v="7232"/>
        <n v="4161"/>
        <n v="5293"/>
        <n v="7797"/>
        <n v="2946"/>
        <n v="6926"/>
        <n v="9811"/>
        <n v="8016"/>
        <n v="5335"/>
        <n v="9068"/>
        <n v="6150"/>
        <n v="9810"/>
        <n v="6895"/>
        <n v="6873"/>
        <n v="3481"/>
        <n v="3901"/>
        <n v="8305"/>
        <n v="5451"/>
        <n v="6064"/>
        <n v="8230"/>
        <n v="2054"/>
        <n v="9643"/>
        <n v="3823"/>
        <n v="7297"/>
        <n v="5462"/>
        <n v="9516"/>
        <n v="5079"/>
        <n v="2832"/>
        <n v="6408"/>
        <n v="4806"/>
        <n v="7954"/>
        <n v="8103"/>
        <n v="8102"/>
        <n v="4490"/>
        <n v="7886"/>
        <n v="2327"/>
        <n v="9221"/>
        <n v="8904"/>
        <n v="5310"/>
        <n v="5300"/>
        <n v="8722"/>
        <n v="9218"/>
        <n v="9776"/>
        <n v="5675"/>
        <n v="5054"/>
        <n v="7383"/>
        <n v="9585"/>
        <n v="4143"/>
        <n v="7207"/>
        <n v="9245"/>
        <n v="3311"/>
        <n v="5191"/>
        <n v="8957"/>
        <n v="4538"/>
        <n v="5983"/>
      </sharedItems>
    </cacheField>
    <cacheField name="Dignosis name" numFmtId="0">
      <sharedItems count="10">
        <s v="Diabetes"/>
        <s v="COPD"/>
        <s v="Heart Disease"/>
        <s v="Kidney Disease"/>
        <s v="Asthma"/>
        <s v="Hypertension"/>
        <s v="Stroke"/>
        <s v="Arthritis"/>
        <s v="Cancer"/>
        <s v="Liver Disease"/>
      </sharedItems>
    </cacheField>
    <cacheField name="outcomename " numFmtId="0">
      <sharedItems/>
    </cacheField>
    <cacheField name="Days of digno" numFmtId="0">
      <sharedItems containsSemiMixedTypes="0" containsString="0" containsNumber="1" containsInteger="1" minValue="1" maxValue="169"/>
    </cacheField>
    <cacheField name="Abnormal blood sugar flage" numFmtId="0">
      <sharedItems containsBlank="1"/>
    </cacheField>
    <cacheField name="risk raet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s v="M"/>
    <n v="2"/>
    <d v="2025-03-22T00:00:00"/>
    <d v="2025-04-04T00:00:00"/>
    <x v="0"/>
    <x v="0"/>
    <x v="0"/>
    <s v="Edward Montes"/>
    <n v="13"/>
    <m/>
    <s v="low risk"/>
  </r>
  <r>
    <x v="1"/>
    <x v="1"/>
    <x v="1"/>
    <s v="M"/>
    <n v="2"/>
    <d v="2025-03-31T00:00:00"/>
    <d v="2025-04-02T00:00:00"/>
    <x v="1"/>
    <x v="1"/>
    <x v="0"/>
    <s v="Jessica Zimmerman"/>
    <n v="2"/>
    <m/>
    <s v="low risk"/>
  </r>
  <r>
    <x v="2"/>
    <x v="2"/>
    <x v="2"/>
    <s v="M"/>
    <n v="6"/>
    <d v="2025-01-08T00:00:00"/>
    <d v="2025-03-13T00:00:00"/>
    <x v="0"/>
    <x v="2"/>
    <x v="1"/>
    <s v="Edward Montes"/>
    <n v="64"/>
    <s v="high"/>
    <s v="high risk"/>
  </r>
  <r>
    <x v="3"/>
    <x v="3"/>
    <x v="3"/>
    <s v="F"/>
    <n v="3"/>
    <d v="2025-04-03T00:00:00"/>
    <d v="2025-04-05T00:00:00"/>
    <x v="0"/>
    <x v="3"/>
    <x v="2"/>
    <s v="Edward Montes"/>
    <n v="2"/>
    <s v="high"/>
    <s v="high risk"/>
  </r>
  <r>
    <x v="4"/>
    <x v="4"/>
    <x v="4"/>
    <s v="F"/>
    <n v="9"/>
    <d v="2025-06-03T00:00:00"/>
    <d v="2025-06-04T00:00:00"/>
    <x v="0"/>
    <x v="4"/>
    <x v="3"/>
    <s v="Edward Montes"/>
    <n v="1"/>
    <s v="high"/>
    <s v="low risk"/>
  </r>
  <r>
    <x v="5"/>
    <x v="5"/>
    <x v="5"/>
    <s v="F"/>
    <n v="4"/>
    <d v="2025-03-31T00:00:00"/>
    <d v="2025-04-05T00:00:00"/>
    <x v="0"/>
    <x v="5"/>
    <x v="4"/>
    <s v="Edward Montes"/>
    <n v="5"/>
    <s v="high"/>
    <s v="high risk"/>
  </r>
  <r>
    <x v="6"/>
    <x v="6"/>
    <x v="6"/>
    <s v="F"/>
    <n v="1"/>
    <d v="2025-06-11T00:00:00"/>
    <d v="2025-07-05T00:00:00"/>
    <x v="1"/>
    <x v="6"/>
    <x v="5"/>
    <s v="Jessica Zimmerman"/>
    <n v="24"/>
    <s v="high"/>
    <s v="high risk"/>
  </r>
  <r>
    <x v="7"/>
    <x v="7"/>
    <x v="0"/>
    <s v="M"/>
    <n v="4"/>
    <d v="2025-04-25T00:00:00"/>
    <d v="2025-06-19T00:00:00"/>
    <x v="0"/>
    <x v="7"/>
    <x v="4"/>
    <s v="Edward Montes"/>
    <n v="55"/>
    <s v="high"/>
    <s v="low risk"/>
  </r>
  <r>
    <x v="8"/>
    <x v="8"/>
    <x v="7"/>
    <s v="F"/>
    <n v="1"/>
    <d v="2025-04-15T00:00:00"/>
    <d v="2025-04-17T00:00:00"/>
    <x v="1"/>
    <x v="8"/>
    <x v="5"/>
    <s v="Jessica Zimmerman"/>
    <n v="2"/>
    <s v="high"/>
    <s v="low risk"/>
  </r>
  <r>
    <x v="9"/>
    <x v="9"/>
    <x v="8"/>
    <s v="M"/>
    <n v="5"/>
    <d v="2025-05-15T00:00:00"/>
    <d v="2025-05-19T00:00:00"/>
    <x v="1"/>
    <x v="9"/>
    <x v="6"/>
    <s v="Jessica Zimmerman"/>
    <n v="4"/>
    <s v="high"/>
    <s v="high risk"/>
  </r>
  <r>
    <x v="10"/>
    <x v="10"/>
    <x v="9"/>
    <s v="M"/>
    <n v="4"/>
    <d v="2025-02-27T00:00:00"/>
    <d v="2025-04-18T00:00:00"/>
    <x v="2"/>
    <x v="10"/>
    <x v="4"/>
    <s v="Gina Alexander"/>
    <n v="50"/>
    <s v="high"/>
    <s v="high risk"/>
  </r>
  <r>
    <x v="11"/>
    <x v="11"/>
    <x v="10"/>
    <s v="F"/>
    <n v="8"/>
    <d v="2025-04-24T00:00:00"/>
    <d v="2025-05-18T00:00:00"/>
    <x v="1"/>
    <x v="11"/>
    <x v="7"/>
    <s v="Jessica Zimmerman"/>
    <n v="24"/>
    <s v="high"/>
    <s v="high risk"/>
  </r>
  <r>
    <x v="12"/>
    <x v="12"/>
    <x v="10"/>
    <s v="F"/>
    <n v="8"/>
    <d v="2025-03-16T00:00:00"/>
    <d v="2025-06-07T00:00:00"/>
    <x v="2"/>
    <x v="12"/>
    <x v="7"/>
    <s v="Gina Alexander"/>
    <n v="83"/>
    <s v="high"/>
    <s v="high risk"/>
  </r>
  <r>
    <x v="13"/>
    <x v="13"/>
    <x v="11"/>
    <s v="F"/>
    <n v="7"/>
    <d v="2025-06-06T00:00:00"/>
    <d v="2025-06-10T00:00:00"/>
    <x v="1"/>
    <x v="13"/>
    <x v="8"/>
    <s v="Jessica Zimmerman"/>
    <n v="4"/>
    <s v="high"/>
    <s v="high risk"/>
  </r>
  <r>
    <x v="14"/>
    <x v="14"/>
    <x v="12"/>
    <s v="F"/>
    <n v="3"/>
    <d v="2025-04-30T00:00:00"/>
    <d v="2025-05-03T00:00:00"/>
    <x v="1"/>
    <x v="14"/>
    <x v="2"/>
    <s v="Jessica Zimmerman"/>
    <n v="3"/>
    <s v="high"/>
    <s v="low risk"/>
  </r>
  <r>
    <x v="15"/>
    <x v="15"/>
    <x v="13"/>
    <s v="F"/>
    <n v="1"/>
    <d v="2025-06-13T00:00:00"/>
    <d v="2025-06-15T00:00:00"/>
    <x v="1"/>
    <x v="15"/>
    <x v="5"/>
    <s v="Jessica Zimmerman"/>
    <n v="2"/>
    <s v="high"/>
    <s v="low risk"/>
  </r>
  <r>
    <x v="16"/>
    <x v="16"/>
    <x v="14"/>
    <s v="F"/>
    <n v="1"/>
    <d v="2025-01-21T00:00:00"/>
    <d v="2025-05-22T00:00:00"/>
    <x v="2"/>
    <x v="16"/>
    <x v="5"/>
    <s v="Gina Alexander"/>
    <n v="121"/>
    <s v="high"/>
    <s v="low risk"/>
  </r>
  <r>
    <x v="17"/>
    <x v="17"/>
    <x v="11"/>
    <s v="F"/>
    <n v="3"/>
    <d v="2025-06-13T00:00:00"/>
    <d v="2025-06-22T00:00:00"/>
    <x v="2"/>
    <x v="17"/>
    <x v="2"/>
    <s v="Gina Alexander"/>
    <n v="9"/>
    <s v="high"/>
    <s v="high risk"/>
  </r>
  <r>
    <x v="18"/>
    <x v="18"/>
    <x v="15"/>
    <s v="F"/>
    <n v="6"/>
    <d v="2025-05-18T00:00:00"/>
    <d v="2025-05-20T00:00:00"/>
    <x v="0"/>
    <x v="18"/>
    <x v="1"/>
    <s v="Edward Montes"/>
    <n v="2"/>
    <s v="high"/>
    <s v="high risk"/>
  </r>
  <r>
    <x v="19"/>
    <x v="19"/>
    <x v="16"/>
    <s v="M"/>
    <n v="7"/>
    <d v="2025-04-11T00:00:00"/>
    <d v="2025-07-09T00:00:00"/>
    <x v="2"/>
    <x v="19"/>
    <x v="8"/>
    <s v="Gina Alexander"/>
    <n v="89"/>
    <s v="high"/>
    <s v="high risk"/>
  </r>
  <r>
    <x v="20"/>
    <x v="20"/>
    <x v="12"/>
    <s v="F"/>
    <n v="6"/>
    <d v="2025-06-01T00:00:00"/>
    <d v="2025-06-11T00:00:00"/>
    <x v="2"/>
    <x v="20"/>
    <x v="1"/>
    <s v="Gina Alexander"/>
    <n v="10"/>
    <s v="high"/>
    <s v="low risk"/>
  </r>
  <r>
    <x v="21"/>
    <x v="21"/>
    <x v="17"/>
    <s v="F"/>
    <n v="6"/>
    <d v="2025-06-26T00:00:00"/>
    <d v="2025-07-03T00:00:00"/>
    <x v="2"/>
    <x v="21"/>
    <x v="1"/>
    <s v="Gina Alexander"/>
    <n v="7"/>
    <s v="high"/>
    <s v="high risk"/>
  </r>
  <r>
    <x v="22"/>
    <x v="22"/>
    <x v="11"/>
    <s v="M"/>
    <n v="6"/>
    <d v="2025-04-09T00:00:00"/>
    <d v="2025-06-23T00:00:00"/>
    <x v="2"/>
    <x v="22"/>
    <x v="1"/>
    <s v="Gina Alexander"/>
    <n v="75"/>
    <s v="high"/>
    <s v="high risk"/>
  </r>
  <r>
    <x v="23"/>
    <x v="23"/>
    <x v="18"/>
    <s v="F"/>
    <n v="3"/>
    <d v="2025-02-05T00:00:00"/>
    <d v="2025-04-02T00:00:00"/>
    <x v="0"/>
    <x v="23"/>
    <x v="2"/>
    <s v="Edward Montes"/>
    <n v="56"/>
    <s v="high"/>
    <s v="low risk"/>
  </r>
  <r>
    <x v="24"/>
    <x v="24"/>
    <x v="19"/>
    <s v="M"/>
    <n v="6"/>
    <d v="2025-04-06T00:00:00"/>
    <d v="2025-06-03T00:00:00"/>
    <x v="2"/>
    <x v="24"/>
    <x v="1"/>
    <s v="Gina Alexander"/>
    <n v="58"/>
    <s v="high"/>
    <s v="high risk"/>
  </r>
  <r>
    <x v="25"/>
    <x v="25"/>
    <x v="20"/>
    <s v="M"/>
    <n v="8"/>
    <d v="2025-06-01T00:00:00"/>
    <d v="2025-06-02T00:00:00"/>
    <x v="1"/>
    <x v="25"/>
    <x v="7"/>
    <s v="Jessica Zimmerman"/>
    <n v="1"/>
    <s v="high"/>
    <s v="low risk"/>
  </r>
  <r>
    <x v="26"/>
    <x v="26"/>
    <x v="17"/>
    <s v="F"/>
    <n v="2"/>
    <d v="2025-05-31T00:00:00"/>
    <d v="2025-06-01T00:00:00"/>
    <x v="1"/>
    <x v="26"/>
    <x v="0"/>
    <s v="Jessica Zimmerman"/>
    <n v="1"/>
    <s v="high"/>
    <s v="high risk"/>
  </r>
  <r>
    <x v="27"/>
    <x v="27"/>
    <x v="21"/>
    <s v="M"/>
    <n v="5"/>
    <d v="2025-02-06T00:00:00"/>
    <d v="2025-04-29T00:00:00"/>
    <x v="2"/>
    <x v="27"/>
    <x v="6"/>
    <s v="Gina Alexander"/>
    <n v="82"/>
    <s v="high"/>
    <s v="low risk"/>
  </r>
  <r>
    <x v="28"/>
    <x v="28"/>
    <x v="6"/>
    <s v="M"/>
    <n v="1"/>
    <d v="2025-01-12T00:00:00"/>
    <d v="2025-01-14T00:00:00"/>
    <x v="2"/>
    <x v="28"/>
    <x v="5"/>
    <s v="Gina Alexander"/>
    <n v="2"/>
    <s v="high"/>
    <s v="high risk"/>
  </r>
  <r>
    <x v="29"/>
    <x v="29"/>
    <x v="22"/>
    <s v="M"/>
    <n v="1"/>
    <d v="2025-04-23T00:00:00"/>
    <d v="2025-04-27T00:00:00"/>
    <x v="1"/>
    <x v="29"/>
    <x v="5"/>
    <s v="Jessica Zimmerman"/>
    <n v="4"/>
    <s v="high"/>
    <s v="high risk"/>
  </r>
  <r>
    <x v="30"/>
    <x v="30"/>
    <x v="23"/>
    <s v="M"/>
    <n v="5"/>
    <d v="2025-01-13T00:00:00"/>
    <d v="2025-07-01T00:00:00"/>
    <x v="1"/>
    <x v="30"/>
    <x v="6"/>
    <s v="Jessica Zimmerman"/>
    <n v="169"/>
    <s v="high"/>
    <s v="high risk"/>
  </r>
  <r>
    <x v="31"/>
    <x v="31"/>
    <x v="7"/>
    <s v="F"/>
    <n v="3"/>
    <d v="2025-01-23T00:00:00"/>
    <d v="2025-01-27T00:00:00"/>
    <x v="0"/>
    <x v="31"/>
    <x v="2"/>
    <s v="Edward Montes"/>
    <n v="4"/>
    <s v="high"/>
    <s v="low risk"/>
  </r>
  <r>
    <x v="32"/>
    <x v="32"/>
    <x v="16"/>
    <s v="M"/>
    <n v="4"/>
    <d v="2025-04-09T00:00:00"/>
    <d v="2025-05-02T00:00:00"/>
    <x v="1"/>
    <x v="32"/>
    <x v="4"/>
    <s v="Jessica Zimmerman"/>
    <n v="23"/>
    <s v="high"/>
    <s v="high risk"/>
  </r>
  <r>
    <x v="33"/>
    <x v="33"/>
    <x v="18"/>
    <s v="F"/>
    <n v="3"/>
    <d v="2025-04-15T00:00:00"/>
    <d v="2025-04-24T00:00:00"/>
    <x v="1"/>
    <x v="33"/>
    <x v="2"/>
    <s v="Jessica Zimmerman"/>
    <n v="9"/>
    <s v="high"/>
    <s v="low risk"/>
  </r>
  <r>
    <x v="34"/>
    <x v="34"/>
    <x v="24"/>
    <s v="M"/>
    <n v="1"/>
    <d v="2025-01-30T00:00:00"/>
    <d v="2025-02-12T00:00:00"/>
    <x v="2"/>
    <x v="34"/>
    <x v="5"/>
    <s v="Gina Alexander"/>
    <n v="13"/>
    <s v="high"/>
    <s v="high risk"/>
  </r>
  <r>
    <x v="35"/>
    <x v="35"/>
    <x v="25"/>
    <s v="M"/>
    <n v="1"/>
    <d v="2025-01-17T00:00:00"/>
    <d v="2025-04-11T00:00:00"/>
    <x v="1"/>
    <x v="35"/>
    <x v="5"/>
    <s v="Jessica Zimmerman"/>
    <n v="84"/>
    <s v="high"/>
    <s v="low risk"/>
  </r>
  <r>
    <x v="36"/>
    <x v="36"/>
    <x v="26"/>
    <s v="M"/>
    <n v="5"/>
    <d v="2025-04-23T00:00:00"/>
    <d v="2025-05-03T00:00:00"/>
    <x v="0"/>
    <x v="36"/>
    <x v="6"/>
    <s v="Edward Montes"/>
    <n v="10"/>
    <s v="high"/>
    <s v="high risk"/>
  </r>
  <r>
    <x v="37"/>
    <x v="37"/>
    <x v="27"/>
    <s v="M"/>
    <n v="6"/>
    <d v="2025-03-03T00:00:00"/>
    <d v="2025-03-22T00:00:00"/>
    <x v="1"/>
    <x v="37"/>
    <x v="1"/>
    <s v="Jessica Zimmerman"/>
    <n v="19"/>
    <s v="high"/>
    <s v="low risk"/>
  </r>
  <r>
    <x v="38"/>
    <x v="38"/>
    <x v="28"/>
    <s v="F"/>
    <n v="3"/>
    <d v="2025-03-25T00:00:00"/>
    <d v="2025-03-26T00:00:00"/>
    <x v="2"/>
    <x v="38"/>
    <x v="2"/>
    <s v="Gina Alexander"/>
    <n v="1"/>
    <s v="high"/>
    <s v="low risk"/>
  </r>
  <r>
    <x v="39"/>
    <x v="39"/>
    <x v="29"/>
    <s v="F"/>
    <n v="9"/>
    <d v="2025-04-22T00:00:00"/>
    <d v="2025-06-12T00:00:00"/>
    <x v="2"/>
    <x v="39"/>
    <x v="3"/>
    <s v="Gina Alexander"/>
    <n v="51"/>
    <s v="high"/>
    <s v="high risk"/>
  </r>
  <r>
    <x v="40"/>
    <x v="40"/>
    <x v="21"/>
    <s v="M"/>
    <n v="5"/>
    <d v="2025-03-27T00:00:00"/>
    <d v="2025-06-20T00:00:00"/>
    <x v="1"/>
    <x v="40"/>
    <x v="6"/>
    <s v="Jessica Zimmerman"/>
    <n v="85"/>
    <s v="high"/>
    <s v="low risk"/>
  </r>
  <r>
    <x v="41"/>
    <x v="41"/>
    <x v="30"/>
    <s v="M"/>
    <n v="8"/>
    <d v="2025-05-21T00:00:00"/>
    <d v="2025-07-10T00:00:00"/>
    <x v="2"/>
    <x v="41"/>
    <x v="7"/>
    <s v="Gina Alexander"/>
    <n v="50"/>
    <s v="high"/>
    <s v="high risk"/>
  </r>
  <r>
    <x v="42"/>
    <x v="42"/>
    <x v="3"/>
    <s v="F"/>
    <n v="1"/>
    <d v="2025-01-19T00:00:00"/>
    <d v="2025-05-07T00:00:00"/>
    <x v="0"/>
    <x v="42"/>
    <x v="5"/>
    <s v="Edward Montes"/>
    <n v="108"/>
    <s v="high"/>
    <s v="high risk"/>
  </r>
  <r>
    <x v="43"/>
    <x v="43"/>
    <x v="31"/>
    <s v="M"/>
    <n v="5"/>
    <d v="2025-06-26T00:00:00"/>
    <d v="2025-07-05T00:00:00"/>
    <x v="0"/>
    <x v="43"/>
    <x v="6"/>
    <s v="Edward Montes"/>
    <n v="9"/>
    <s v="high"/>
    <s v="low risk"/>
  </r>
  <r>
    <x v="44"/>
    <x v="44"/>
    <x v="32"/>
    <s v="M"/>
    <n v="3"/>
    <d v="2025-04-10T00:00:00"/>
    <d v="2025-05-12T00:00:00"/>
    <x v="1"/>
    <x v="44"/>
    <x v="2"/>
    <s v="Jessica Zimmerman"/>
    <n v="32"/>
    <s v="high"/>
    <s v="low risk"/>
  </r>
  <r>
    <x v="45"/>
    <x v="45"/>
    <x v="18"/>
    <s v="M"/>
    <n v="1"/>
    <d v="2025-05-20T00:00:00"/>
    <d v="2025-05-24T00:00:00"/>
    <x v="1"/>
    <x v="45"/>
    <x v="5"/>
    <s v="Jessica Zimmerman"/>
    <n v="4"/>
    <s v="high"/>
    <s v="low risk"/>
  </r>
  <r>
    <x v="46"/>
    <x v="46"/>
    <x v="33"/>
    <s v="F"/>
    <n v="4"/>
    <d v="2025-05-27T00:00:00"/>
    <d v="2025-06-05T00:00:00"/>
    <x v="1"/>
    <x v="46"/>
    <x v="4"/>
    <s v="Jessica Zimmerman"/>
    <n v="9"/>
    <s v="high"/>
    <s v="low risk"/>
  </r>
  <r>
    <x v="47"/>
    <x v="47"/>
    <x v="1"/>
    <s v="F"/>
    <n v="5"/>
    <d v="2025-03-17T00:00:00"/>
    <d v="2025-03-24T00:00:00"/>
    <x v="2"/>
    <x v="47"/>
    <x v="6"/>
    <s v="Gina Alexander"/>
    <n v="7"/>
    <s v="high"/>
    <s v="low risk"/>
  </r>
  <r>
    <x v="48"/>
    <x v="48"/>
    <x v="34"/>
    <s v="F"/>
    <n v="7"/>
    <d v="2025-01-09T00:00:00"/>
    <d v="2025-05-22T00:00:00"/>
    <x v="0"/>
    <x v="48"/>
    <x v="8"/>
    <s v="Edward Montes"/>
    <n v="133"/>
    <s v="high"/>
    <s v="low risk"/>
  </r>
  <r>
    <x v="49"/>
    <x v="49"/>
    <x v="15"/>
    <s v="M"/>
    <n v="1"/>
    <d v="2025-01-28T00:00:00"/>
    <d v="2025-03-07T00:00:00"/>
    <x v="0"/>
    <x v="49"/>
    <x v="5"/>
    <s v="Edward Montes"/>
    <n v="38"/>
    <s v="high"/>
    <s v="high risk"/>
  </r>
  <r>
    <x v="50"/>
    <x v="50"/>
    <x v="35"/>
    <s v="M"/>
    <n v="3"/>
    <d v="2025-05-08T00:00:00"/>
    <d v="2025-06-03T00:00:00"/>
    <x v="2"/>
    <x v="50"/>
    <x v="2"/>
    <s v="Gina Alexander"/>
    <n v="26"/>
    <s v="high"/>
    <s v="low risk"/>
  </r>
  <r>
    <x v="51"/>
    <x v="51"/>
    <x v="32"/>
    <s v="F"/>
    <n v="2"/>
    <d v="2025-02-21T00:00:00"/>
    <d v="2025-05-01T00:00:00"/>
    <x v="0"/>
    <x v="51"/>
    <x v="0"/>
    <s v="Edward Montes"/>
    <n v="69"/>
    <s v="high"/>
    <s v="low risk"/>
  </r>
  <r>
    <x v="52"/>
    <x v="52"/>
    <x v="36"/>
    <s v="F"/>
    <n v="9"/>
    <d v="2025-03-24T00:00:00"/>
    <d v="2025-03-28T00:00:00"/>
    <x v="1"/>
    <x v="52"/>
    <x v="3"/>
    <s v="Jessica Zimmerman"/>
    <n v="4"/>
    <s v="high"/>
    <s v="high risk"/>
  </r>
  <r>
    <x v="53"/>
    <x v="53"/>
    <x v="6"/>
    <s v="F"/>
    <n v="10"/>
    <d v="2025-04-21T00:00:00"/>
    <d v="2025-06-09T00:00:00"/>
    <x v="1"/>
    <x v="53"/>
    <x v="9"/>
    <s v="Jessica Zimmerman"/>
    <n v="49"/>
    <s v="high"/>
    <s v="high risk"/>
  </r>
  <r>
    <x v="54"/>
    <x v="54"/>
    <x v="37"/>
    <s v="F"/>
    <n v="6"/>
    <d v="2025-05-24T00:00:00"/>
    <d v="2025-06-01T00:00:00"/>
    <x v="1"/>
    <x v="54"/>
    <x v="1"/>
    <s v="Jessica Zimmerman"/>
    <n v="8"/>
    <s v="high"/>
    <s v="high risk"/>
  </r>
  <r>
    <x v="55"/>
    <x v="55"/>
    <x v="0"/>
    <s v="M"/>
    <n v="10"/>
    <d v="2025-04-27T00:00:00"/>
    <d v="2025-05-31T00:00:00"/>
    <x v="0"/>
    <x v="55"/>
    <x v="9"/>
    <s v="Edward Montes"/>
    <n v="34"/>
    <s v="high"/>
    <s v="low risk"/>
  </r>
  <r>
    <x v="56"/>
    <x v="56"/>
    <x v="38"/>
    <s v="F"/>
    <n v="3"/>
    <d v="2025-03-10T00:00:00"/>
    <d v="2025-03-16T00:00:00"/>
    <x v="1"/>
    <x v="56"/>
    <x v="2"/>
    <s v="Jessica Zimmerman"/>
    <n v="6"/>
    <s v="high"/>
    <s v="high risk"/>
  </r>
  <r>
    <x v="57"/>
    <x v="57"/>
    <x v="39"/>
    <s v="M"/>
    <n v="8"/>
    <d v="2025-04-09T00:00:00"/>
    <d v="2025-04-19T00:00:00"/>
    <x v="2"/>
    <x v="57"/>
    <x v="7"/>
    <s v="Gina Alexander"/>
    <n v="10"/>
    <s v="high"/>
    <s v="high risk"/>
  </r>
  <r>
    <x v="58"/>
    <x v="58"/>
    <x v="24"/>
    <s v="F"/>
    <n v="8"/>
    <d v="2025-05-20T00:00:00"/>
    <d v="2025-07-07T00:00:00"/>
    <x v="2"/>
    <x v="58"/>
    <x v="7"/>
    <s v="Gina Alexander"/>
    <n v="48"/>
    <s v="high"/>
    <s v="high risk"/>
  </r>
  <r>
    <x v="59"/>
    <x v="59"/>
    <x v="21"/>
    <s v="M"/>
    <n v="2"/>
    <d v="2025-01-25T00:00:00"/>
    <d v="2025-04-22T00:00:00"/>
    <x v="0"/>
    <x v="59"/>
    <x v="0"/>
    <s v="Edward Montes"/>
    <n v="87"/>
    <s v="high"/>
    <s v="low risk"/>
  </r>
  <r>
    <x v="60"/>
    <x v="60"/>
    <x v="40"/>
    <s v="F"/>
    <n v="6"/>
    <d v="2025-06-29T00:00:00"/>
    <d v="2025-07-04T00:00:00"/>
    <x v="2"/>
    <x v="60"/>
    <x v="1"/>
    <s v="Gina Alexander"/>
    <n v="5"/>
    <s v="high"/>
    <s v="high risk"/>
  </r>
  <r>
    <x v="61"/>
    <x v="61"/>
    <x v="41"/>
    <s v="F"/>
    <n v="7"/>
    <d v="2025-05-03T00:00:00"/>
    <d v="2025-05-04T00:00:00"/>
    <x v="2"/>
    <x v="61"/>
    <x v="8"/>
    <s v="Gina Alexander"/>
    <n v="1"/>
    <s v="high"/>
    <s v="low risk"/>
  </r>
  <r>
    <x v="62"/>
    <x v="62"/>
    <x v="7"/>
    <s v="F"/>
    <n v="2"/>
    <d v="2025-02-22T00:00:00"/>
    <d v="2025-02-28T00:00:00"/>
    <x v="0"/>
    <x v="62"/>
    <x v="0"/>
    <s v="Edward Montes"/>
    <n v="6"/>
    <s v="high"/>
    <s v="low risk"/>
  </r>
  <r>
    <x v="63"/>
    <x v="63"/>
    <x v="37"/>
    <s v="F"/>
    <n v="10"/>
    <d v="2025-05-31T00:00:00"/>
    <d v="2025-06-03T00:00:00"/>
    <x v="1"/>
    <x v="63"/>
    <x v="9"/>
    <s v="Jessica Zimmerman"/>
    <n v="3"/>
    <s v="high"/>
    <s v="high risk"/>
  </r>
  <r>
    <x v="64"/>
    <x v="64"/>
    <x v="42"/>
    <s v="M"/>
    <n v="2"/>
    <d v="2025-05-24T00:00:00"/>
    <d v="2025-05-31T00:00:00"/>
    <x v="1"/>
    <x v="64"/>
    <x v="0"/>
    <s v="Jessica Zimmerman"/>
    <n v="7"/>
    <s v="high"/>
    <s v="high risk"/>
  </r>
  <r>
    <x v="65"/>
    <x v="65"/>
    <x v="12"/>
    <s v="F"/>
    <n v="10"/>
    <d v="2025-02-26T00:00:00"/>
    <d v="2025-03-04T00:00:00"/>
    <x v="1"/>
    <x v="65"/>
    <x v="9"/>
    <s v="Jessica Zimmerman"/>
    <n v="6"/>
    <s v="high"/>
    <s v="low risk"/>
  </r>
  <r>
    <x v="66"/>
    <x v="66"/>
    <x v="17"/>
    <s v="M"/>
    <n v="1"/>
    <d v="2025-02-08T00:00:00"/>
    <d v="2025-03-29T00:00:00"/>
    <x v="0"/>
    <x v="66"/>
    <x v="5"/>
    <s v="Edward Montes"/>
    <n v="49"/>
    <s v="high"/>
    <s v="high risk"/>
  </r>
  <r>
    <x v="67"/>
    <x v="67"/>
    <x v="43"/>
    <s v="M"/>
    <n v="8"/>
    <d v="2025-04-19T00:00:00"/>
    <d v="2025-04-24T00:00:00"/>
    <x v="2"/>
    <x v="67"/>
    <x v="7"/>
    <s v="Gina Alexander"/>
    <n v="5"/>
    <s v="high"/>
    <s v="high risk"/>
  </r>
  <r>
    <x v="68"/>
    <x v="68"/>
    <x v="29"/>
    <s v="M"/>
    <n v="1"/>
    <d v="2025-06-30T00:00:00"/>
    <d v="2025-07-07T00:00:00"/>
    <x v="1"/>
    <x v="68"/>
    <x v="5"/>
    <s v="Jessica Zimmerman"/>
    <n v="7"/>
    <s v="high"/>
    <s v="high risk"/>
  </r>
  <r>
    <x v="69"/>
    <x v="69"/>
    <x v="31"/>
    <s v="M"/>
    <n v="9"/>
    <d v="2025-02-11T00:00:00"/>
    <d v="2025-03-02T00:00:00"/>
    <x v="1"/>
    <x v="69"/>
    <x v="3"/>
    <s v="Jessica Zimmerman"/>
    <n v="19"/>
    <s v="high"/>
    <s v="low risk"/>
  </r>
  <r>
    <x v="70"/>
    <x v="70"/>
    <x v="21"/>
    <s v="F"/>
    <n v="6"/>
    <d v="2025-06-16T00:00:00"/>
    <d v="2025-06-24T00:00:00"/>
    <x v="0"/>
    <x v="70"/>
    <x v="1"/>
    <s v="Edward Montes"/>
    <n v="8"/>
    <s v="high"/>
    <s v="low risk"/>
  </r>
  <r>
    <x v="71"/>
    <x v="71"/>
    <x v="36"/>
    <s v="M"/>
    <n v="7"/>
    <d v="2025-05-22T00:00:00"/>
    <d v="2025-05-25T00:00:00"/>
    <x v="1"/>
    <x v="71"/>
    <x v="8"/>
    <s v="Jessica Zimmerman"/>
    <n v="3"/>
    <s v="high"/>
    <s v="high risk"/>
  </r>
  <r>
    <x v="72"/>
    <x v="72"/>
    <x v="18"/>
    <s v="M"/>
    <n v="10"/>
    <d v="2025-05-02T00:00:00"/>
    <d v="2025-05-06T00:00:00"/>
    <x v="0"/>
    <x v="72"/>
    <x v="9"/>
    <s v="Edward Montes"/>
    <n v="4"/>
    <s v="high"/>
    <s v="low risk"/>
  </r>
  <r>
    <x v="73"/>
    <x v="73"/>
    <x v="5"/>
    <s v="M"/>
    <n v="7"/>
    <d v="2025-05-13T00:00:00"/>
    <d v="2025-05-19T00:00:00"/>
    <x v="2"/>
    <x v="5"/>
    <x v="8"/>
    <s v="Gina Alexander"/>
    <n v="6"/>
    <s v="high"/>
    <s v="high risk"/>
  </r>
  <r>
    <x v="74"/>
    <x v="74"/>
    <x v="31"/>
    <s v="F"/>
    <n v="10"/>
    <d v="2025-06-12T00:00:00"/>
    <d v="2025-06-14T00:00:00"/>
    <x v="0"/>
    <x v="73"/>
    <x v="9"/>
    <s v="Edward Montes"/>
    <n v="2"/>
    <s v="high"/>
    <s v="low risk"/>
  </r>
  <r>
    <x v="75"/>
    <x v="75"/>
    <x v="44"/>
    <s v="F"/>
    <n v="3"/>
    <d v="2025-03-16T00:00:00"/>
    <d v="2025-03-31T00:00:00"/>
    <x v="0"/>
    <x v="74"/>
    <x v="2"/>
    <s v="Edward Montes"/>
    <n v="15"/>
    <s v="high"/>
    <s v="high risk"/>
  </r>
  <r>
    <x v="76"/>
    <x v="76"/>
    <x v="40"/>
    <s v="F"/>
    <n v="2"/>
    <d v="2025-05-26T00:00:00"/>
    <d v="2025-05-28T00:00:00"/>
    <x v="0"/>
    <x v="75"/>
    <x v="0"/>
    <s v="Edward Montes"/>
    <n v="2"/>
    <s v="high"/>
    <s v="high risk"/>
  </r>
  <r>
    <x v="77"/>
    <x v="77"/>
    <x v="45"/>
    <s v="F"/>
    <n v="9"/>
    <d v="2025-03-17T00:00:00"/>
    <d v="2025-03-24T00:00:00"/>
    <x v="0"/>
    <x v="76"/>
    <x v="3"/>
    <s v="Edward Montes"/>
    <n v="7"/>
    <s v="high"/>
    <s v="high risk"/>
  </r>
  <r>
    <x v="78"/>
    <x v="78"/>
    <x v="13"/>
    <s v="M"/>
    <n v="8"/>
    <d v="2025-01-09T00:00:00"/>
    <d v="2025-05-21T00:00:00"/>
    <x v="2"/>
    <x v="77"/>
    <x v="7"/>
    <s v="Gina Alexander"/>
    <n v="132"/>
    <s v="high"/>
    <s v="low risk"/>
  </r>
  <r>
    <x v="79"/>
    <x v="79"/>
    <x v="41"/>
    <s v="M"/>
    <n v="10"/>
    <d v="2025-03-15T00:00:00"/>
    <d v="2025-05-27T00:00:00"/>
    <x v="2"/>
    <x v="78"/>
    <x v="9"/>
    <s v="Gina Alexander"/>
    <n v="73"/>
    <s v="high"/>
    <s v="low risk"/>
  </r>
  <r>
    <x v="80"/>
    <x v="80"/>
    <x v="14"/>
    <s v="F"/>
    <n v="7"/>
    <d v="2025-05-25T00:00:00"/>
    <d v="2025-06-03T00:00:00"/>
    <x v="1"/>
    <x v="79"/>
    <x v="8"/>
    <s v="Jessica Zimmerman"/>
    <n v="9"/>
    <s v="high"/>
    <s v="low risk"/>
  </r>
  <r>
    <x v="81"/>
    <x v="81"/>
    <x v="39"/>
    <s v="M"/>
    <n v="9"/>
    <d v="2025-01-07T00:00:00"/>
    <d v="2025-03-24T00:00:00"/>
    <x v="2"/>
    <x v="80"/>
    <x v="3"/>
    <s v="Gina Alexander"/>
    <n v="76"/>
    <s v="high"/>
    <s v="high risk"/>
  </r>
  <r>
    <x v="82"/>
    <x v="82"/>
    <x v="17"/>
    <s v="M"/>
    <n v="4"/>
    <d v="2025-06-23T00:00:00"/>
    <d v="2025-06-25T00:00:00"/>
    <x v="2"/>
    <x v="81"/>
    <x v="4"/>
    <s v="Gina Alexander"/>
    <n v="2"/>
    <s v="high"/>
    <s v="high risk"/>
  </r>
  <r>
    <x v="83"/>
    <x v="83"/>
    <x v="46"/>
    <s v="M"/>
    <n v="4"/>
    <d v="2025-05-21T00:00:00"/>
    <d v="2025-05-27T00:00:00"/>
    <x v="1"/>
    <x v="82"/>
    <x v="4"/>
    <s v="Jessica Zimmerman"/>
    <n v="6"/>
    <s v="high"/>
    <s v="high risk"/>
  </r>
  <r>
    <x v="84"/>
    <x v="84"/>
    <x v="47"/>
    <s v="F"/>
    <n v="1"/>
    <d v="2025-06-17T00:00:00"/>
    <d v="2025-06-23T00:00:00"/>
    <x v="2"/>
    <x v="44"/>
    <x v="5"/>
    <s v="Gina Alexander"/>
    <n v="6"/>
    <s v="high"/>
    <s v="low risk"/>
  </r>
  <r>
    <x v="85"/>
    <x v="85"/>
    <x v="28"/>
    <s v="F"/>
    <n v="8"/>
    <d v="2025-06-19T00:00:00"/>
    <d v="2025-06-29T00:00:00"/>
    <x v="0"/>
    <x v="83"/>
    <x v="7"/>
    <s v="Edward Montes"/>
    <n v="10"/>
    <s v="high"/>
    <s v="low risk"/>
  </r>
  <r>
    <x v="86"/>
    <x v="86"/>
    <x v="39"/>
    <s v="M"/>
    <n v="3"/>
    <d v="2025-05-17T00:00:00"/>
    <d v="2025-05-22T00:00:00"/>
    <x v="0"/>
    <x v="84"/>
    <x v="2"/>
    <s v="Edward Montes"/>
    <n v="5"/>
    <s v="high"/>
    <s v="high risk"/>
  </r>
  <r>
    <x v="87"/>
    <x v="87"/>
    <x v="47"/>
    <s v="F"/>
    <n v="7"/>
    <d v="2025-06-27T00:00:00"/>
    <d v="2025-06-28T00:00:00"/>
    <x v="1"/>
    <x v="85"/>
    <x v="8"/>
    <s v="Jessica Zimmerman"/>
    <n v="1"/>
    <s v="high"/>
    <s v="low risk"/>
  </r>
  <r>
    <x v="88"/>
    <x v="88"/>
    <x v="2"/>
    <s v="F"/>
    <n v="2"/>
    <d v="2025-01-27T00:00:00"/>
    <d v="2025-05-15T00:00:00"/>
    <x v="1"/>
    <x v="86"/>
    <x v="0"/>
    <s v="Jessica Zimmerman"/>
    <n v="108"/>
    <s v="high"/>
    <s v="high risk"/>
  </r>
  <r>
    <x v="89"/>
    <x v="89"/>
    <x v="38"/>
    <s v="F"/>
    <n v="2"/>
    <d v="2025-05-02T00:00:00"/>
    <d v="2025-05-10T00:00:00"/>
    <x v="1"/>
    <x v="87"/>
    <x v="0"/>
    <s v="Jessica Zimmerman"/>
    <n v="8"/>
    <s v="high"/>
    <s v="high risk"/>
  </r>
  <r>
    <x v="90"/>
    <x v="90"/>
    <x v="42"/>
    <s v="F"/>
    <n v="7"/>
    <d v="2025-01-05T00:00:00"/>
    <d v="2025-05-04T00:00:00"/>
    <x v="0"/>
    <x v="88"/>
    <x v="8"/>
    <s v="Edward Montes"/>
    <n v="119"/>
    <s v="high"/>
    <s v="high risk"/>
  </r>
  <r>
    <x v="91"/>
    <x v="91"/>
    <x v="18"/>
    <s v="F"/>
    <n v="6"/>
    <d v="2025-01-29T00:00:00"/>
    <d v="2025-04-30T00:00:00"/>
    <x v="2"/>
    <x v="89"/>
    <x v="1"/>
    <s v="Gina Alexander"/>
    <n v="91"/>
    <s v="high"/>
    <s v="low risk"/>
  </r>
  <r>
    <x v="92"/>
    <x v="92"/>
    <x v="48"/>
    <s v="M"/>
    <n v="3"/>
    <d v="2025-06-14T00:00:00"/>
    <d v="2025-06-23T00:00:00"/>
    <x v="0"/>
    <x v="90"/>
    <x v="2"/>
    <s v="Edward Montes"/>
    <n v="9"/>
    <s v="high"/>
    <s v="high risk"/>
  </r>
  <r>
    <x v="93"/>
    <x v="93"/>
    <x v="49"/>
    <s v="F"/>
    <n v="9"/>
    <d v="2025-06-15T00:00:00"/>
    <d v="2025-06-17T00:00:00"/>
    <x v="1"/>
    <x v="91"/>
    <x v="3"/>
    <s v="Jessica Zimmerman"/>
    <n v="2"/>
    <s v="high"/>
    <s v="high risk"/>
  </r>
  <r>
    <x v="94"/>
    <x v="94"/>
    <x v="13"/>
    <s v="M"/>
    <n v="10"/>
    <d v="2025-03-24T00:00:00"/>
    <d v="2025-04-14T00:00:00"/>
    <x v="2"/>
    <x v="92"/>
    <x v="9"/>
    <s v="Gina Alexander"/>
    <n v="21"/>
    <s v="high"/>
    <s v="low risk"/>
  </r>
  <r>
    <x v="95"/>
    <x v="95"/>
    <x v="40"/>
    <s v="M"/>
    <n v="6"/>
    <d v="2025-05-16T00:00:00"/>
    <d v="2025-05-23T00:00:00"/>
    <x v="2"/>
    <x v="93"/>
    <x v="1"/>
    <s v="Gina Alexander"/>
    <n v="7"/>
    <s v="high"/>
    <s v="high risk"/>
  </r>
  <r>
    <x v="96"/>
    <x v="96"/>
    <x v="50"/>
    <s v="F"/>
    <n v="10"/>
    <d v="2025-04-19T00:00:00"/>
    <d v="2025-06-02T00:00:00"/>
    <x v="0"/>
    <x v="94"/>
    <x v="9"/>
    <s v="Edward Montes"/>
    <n v="44"/>
    <s v="high"/>
    <s v="high risk"/>
  </r>
  <r>
    <x v="97"/>
    <x v="97"/>
    <x v="51"/>
    <s v="M"/>
    <n v="10"/>
    <d v="2025-03-06T00:00:00"/>
    <d v="2025-03-08T00:00:00"/>
    <x v="1"/>
    <x v="95"/>
    <x v="9"/>
    <s v="Jessica Zimmerman"/>
    <n v="2"/>
    <s v="high"/>
    <s v="low risk"/>
  </r>
  <r>
    <x v="98"/>
    <x v="98"/>
    <x v="3"/>
    <s v="M"/>
    <n v="6"/>
    <d v="2025-03-27T00:00:00"/>
    <d v="2025-05-21T00:00:00"/>
    <x v="0"/>
    <x v="96"/>
    <x v="1"/>
    <s v="Edward Montes"/>
    <n v="55"/>
    <s v="high"/>
    <s v="high risk"/>
  </r>
  <r>
    <x v="99"/>
    <x v="99"/>
    <x v="5"/>
    <s v="M"/>
    <n v="1"/>
    <d v="2025-05-25T00:00:00"/>
    <d v="2025-06-03T00:00:00"/>
    <x v="2"/>
    <x v="97"/>
    <x v="5"/>
    <s v="Gina Alexander"/>
    <n v="9"/>
    <s v="high"/>
    <s v="high risk"/>
  </r>
  <r>
    <x v="100"/>
    <x v="100"/>
    <x v="40"/>
    <s v="F"/>
    <n v="4"/>
    <d v="2025-03-12T00:00:00"/>
    <d v="2025-05-21T00:00:00"/>
    <x v="0"/>
    <x v="98"/>
    <x v="4"/>
    <s v="Edward Montes"/>
    <n v="70"/>
    <s v="high"/>
    <s v="high risk"/>
  </r>
  <r>
    <x v="101"/>
    <x v="101"/>
    <x v="9"/>
    <s v="F"/>
    <n v="10"/>
    <d v="2025-02-14T00:00:00"/>
    <d v="2025-02-19T00:00:00"/>
    <x v="0"/>
    <x v="99"/>
    <x v="9"/>
    <s v="Edward Montes"/>
    <n v="5"/>
    <s v="high"/>
    <s v="high risk"/>
  </r>
  <r>
    <x v="102"/>
    <x v="102"/>
    <x v="21"/>
    <s v="M"/>
    <n v="6"/>
    <d v="2025-05-12T00:00:00"/>
    <d v="2025-05-22T00:00:00"/>
    <x v="1"/>
    <x v="100"/>
    <x v="1"/>
    <s v="Jessica Zimmerman"/>
    <n v="10"/>
    <s v="high"/>
    <s v="low risk"/>
  </r>
  <r>
    <x v="103"/>
    <x v="103"/>
    <x v="34"/>
    <s v="F"/>
    <n v="6"/>
    <d v="2025-02-05T00:00:00"/>
    <d v="2025-06-13T00:00:00"/>
    <x v="1"/>
    <x v="101"/>
    <x v="1"/>
    <s v="Jessica Zimmerman"/>
    <n v="128"/>
    <s v="high"/>
    <s v="low risk"/>
  </r>
  <r>
    <x v="104"/>
    <x v="104"/>
    <x v="14"/>
    <s v="F"/>
    <n v="5"/>
    <d v="2025-03-11T00:00:00"/>
    <d v="2025-04-12T00:00:00"/>
    <x v="2"/>
    <x v="102"/>
    <x v="6"/>
    <s v="Gina Alexander"/>
    <n v="32"/>
    <s v="high"/>
    <s v="low risk"/>
  </r>
  <r>
    <x v="105"/>
    <x v="105"/>
    <x v="6"/>
    <s v="F"/>
    <n v="1"/>
    <d v="2025-06-08T00:00:00"/>
    <d v="2025-06-18T00:00:00"/>
    <x v="0"/>
    <x v="103"/>
    <x v="5"/>
    <s v="Edward Montes"/>
    <n v="10"/>
    <s v="high"/>
    <s v="high risk"/>
  </r>
  <r>
    <x v="106"/>
    <x v="106"/>
    <x v="30"/>
    <s v="F"/>
    <n v="8"/>
    <d v="2025-01-19T00:00:00"/>
    <d v="2025-07-06T00:00:00"/>
    <x v="0"/>
    <x v="104"/>
    <x v="7"/>
    <s v="Edward Montes"/>
    <n v="168"/>
    <s v="high"/>
    <s v="high risk"/>
  </r>
  <r>
    <x v="107"/>
    <x v="107"/>
    <x v="52"/>
    <s v="M"/>
    <n v="5"/>
    <d v="2025-04-18T00:00:00"/>
    <d v="2025-04-24T00:00:00"/>
    <x v="0"/>
    <x v="105"/>
    <x v="6"/>
    <s v="Edward Montes"/>
    <n v="6"/>
    <s v="high"/>
    <s v="low risk"/>
  </r>
  <r>
    <x v="108"/>
    <x v="108"/>
    <x v="38"/>
    <s v="M"/>
    <n v="5"/>
    <d v="2025-06-16T00:00:00"/>
    <d v="2025-06-26T00:00:00"/>
    <x v="2"/>
    <x v="106"/>
    <x v="6"/>
    <s v="Gina Alexander"/>
    <n v="10"/>
    <s v="high"/>
    <s v="high risk"/>
  </r>
  <r>
    <x v="109"/>
    <x v="109"/>
    <x v="31"/>
    <s v="F"/>
    <n v="7"/>
    <d v="2025-04-01T00:00:00"/>
    <d v="2025-04-05T00:00:00"/>
    <x v="2"/>
    <x v="107"/>
    <x v="8"/>
    <s v="Gina Alexander"/>
    <n v="4"/>
    <s v="high"/>
    <s v="low risk"/>
  </r>
  <r>
    <x v="110"/>
    <x v="110"/>
    <x v="12"/>
    <s v="F"/>
    <n v="4"/>
    <d v="2025-03-31T00:00:00"/>
    <d v="2025-06-05T00:00:00"/>
    <x v="1"/>
    <x v="108"/>
    <x v="4"/>
    <s v="Jessica Zimmerman"/>
    <n v="66"/>
    <s v="high"/>
    <s v="low risk"/>
  </r>
  <r>
    <x v="111"/>
    <x v="111"/>
    <x v="11"/>
    <s v="M"/>
    <n v="6"/>
    <d v="2025-01-19T00:00:00"/>
    <d v="2025-01-30T00:00:00"/>
    <x v="1"/>
    <x v="109"/>
    <x v="1"/>
    <s v="Jessica Zimmerman"/>
    <n v="11"/>
    <s v="high"/>
    <s v="high risk"/>
  </r>
  <r>
    <x v="112"/>
    <x v="112"/>
    <x v="42"/>
    <s v="M"/>
    <n v="4"/>
    <d v="2025-02-08T00:00:00"/>
    <d v="2025-02-10T00:00:00"/>
    <x v="1"/>
    <x v="110"/>
    <x v="4"/>
    <s v="Jessica Zimmerman"/>
    <n v="2"/>
    <s v="high"/>
    <s v="high risk"/>
  </r>
  <r>
    <x v="113"/>
    <x v="113"/>
    <x v="24"/>
    <s v="F"/>
    <n v="3"/>
    <d v="2025-05-06T00:00:00"/>
    <d v="2025-05-07T00:00:00"/>
    <x v="0"/>
    <x v="111"/>
    <x v="2"/>
    <s v="Edward Montes"/>
    <n v="1"/>
    <s v="high"/>
    <s v="high risk"/>
  </r>
  <r>
    <x v="114"/>
    <x v="114"/>
    <x v="21"/>
    <s v="M"/>
    <n v="7"/>
    <d v="2025-06-22T00:00:00"/>
    <d v="2025-06-28T00:00:00"/>
    <x v="0"/>
    <x v="112"/>
    <x v="8"/>
    <s v="Edward Montes"/>
    <n v="6"/>
    <s v="high"/>
    <s v="low risk"/>
  </r>
  <r>
    <x v="115"/>
    <x v="115"/>
    <x v="21"/>
    <s v="F"/>
    <n v="8"/>
    <d v="2025-05-21T00:00:00"/>
    <d v="2025-05-25T00:00:00"/>
    <x v="1"/>
    <x v="113"/>
    <x v="7"/>
    <s v="Jessica Zimmerman"/>
    <n v="4"/>
    <s v="high"/>
    <s v="low risk"/>
  </r>
  <r>
    <x v="116"/>
    <x v="116"/>
    <x v="21"/>
    <s v="F"/>
    <n v="4"/>
    <d v="2025-05-06T00:00:00"/>
    <d v="2025-05-11T00:00:00"/>
    <x v="0"/>
    <x v="37"/>
    <x v="4"/>
    <s v="Edward Montes"/>
    <n v="5"/>
    <s v="high"/>
    <s v="low risk"/>
  </r>
  <r>
    <x v="117"/>
    <x v="117"/>
    <x v="52"/>
    <s v="M"/>
    <n v="2"/>
    <d v="2025-02-27T00:00:00"/>
    <d v="2025-06-07T00:00:00"/>
    <x v="1"/>
    <x v="114"/>
    <x v="0"/>
    <s v="Jessica Zimmerman"/>
    <n v="100"/>
    <s v="high"/>
    <s v="low risk"/>
  </r>
  <r>
    <x v="118"/>
    <x v="118"/>
    <x v="53"/>
    <s v="M"/>
    <n v="10"/>
    <d v="2025-05-28T00:00:00"/>
    <d v="2025-05-30T00:00:00"/>
    <x v="2"/>
    <x v="115"/>
    <x v="9"/>
    <s v="Gina Alexander"/>
    <n v="2"/>
    <s v="high"/>
    <s v="low risk"/>
  </r>
  <r>
    <x v="119"/>
    <x v="119"/>
    <x v="2"/>
    <s v="F"/>
    <n v="3"/>
    <d v="2025-03-02T00:00:00"/>
    <d v="2025-03-06T00:00:00"/>
    <x v="1"/>
    <x v="116"/>
    <x v="2"/>
    <s v="Jessica Zimmerman"/>
    <n v="4"/>
    <s v="high"/>
    <s v="high risk"/>
  </r>
  <r>
    <x v="120"/>
    <x v="120"/>
    <x v="3"/>
    <s v="F"/>
    <n v="1"/>
    <d v="2025-05-07T00:00:00"/>
    <d v="2025-05-22T00:00:00"/>
    <x v="2"/>
    <x v="117"/>
    <x v="5"/>
    <s v="Gina Alexander"/>
    <n v="15"/>
    <s v="high"/>
    <s v="high risk"/>
  </r>
  <r>
    <x v="121"/>
    <x v="121"/>
    <x v="52"/>
    <s v="M"/>
    <n v="8"/>
    <d v="2025-04-15T00:00:00"/>
    <d v="2025-04-17T00:00:00"/>
    <x v="0"/>
    <x v="118"/>
    <x v="7"/>
    <s v="Edward Montes"/>
    <n v="2"/>
    <s v="high"/>
    <s v="low risk"/>
  </r>
  <r>
    <x v="122"/>
    <x v="122"/>
    <x v="54"/>
    <s v="F"/>
    <n v="3"/>
    <d v="2025-06-16T00:00:00"/>
    <d v="2025-06-23T00:00:00"/>
    <x v="1"/>
    <x v="119"/>
    <x v="2"/>
    <s v="Jessica Zimmerman"/>
    <n v="7"/>
    <s v="high"/>
    <s v="high risk"/>
  </r>
  <r>
    <x v="123"/>
    <x v="123"/>
    <x v="24"/>
    <s v="M"/>
    <n v="10"/>
    <d v="2025-01-01T00:00:00"/>
    <d v="2025-02-24T00:00:00"/>
    <x v="0"/>
    <x v="120"/>
    <x v="9"/>
    <s v="Edward Montes"/>
    <n v="54"/>
    <s v="high"/>
    <s v="high risk"/>
  </r>
  <r>
    <x v="124"/>
    <x v="124"/>
    <x v="36"/>
    <s v="F"/>
    <n v="7"/>
    <d v="2025-05-11T00:00:00"/>
    <d v="2025-05-16T00:00:00"/>
    <x v="2"/>
    <x v="121"/>
    <x v="8"/>
    <s v="Gina Alexander"/>
    <n v="5"/>
    <s v="high"/>
    <s v="high risk"/>
  </r>
  <r>
    <x v="125"/>
    <x v="125"/>
    <x v="37"/>
    <s v="M"/>
    <n v="10"/>
    <d v="2025-04-02T00:00:00"/>
    <d v="2025-07-05T00:00:00"/>
    <x v="2"/>
    <x v="122"/>
    <x v="9"/>
    <s v="Gina Alexander"/>
    <n v="94"/>
    <s v="high"/>
    <s v="high risk"/>
  </r>
  <r>
    <x v="126"/>
    <x v="126"/>
    <x v="11"/>
    <s v="M"/>
    <n v="5"/>
    <d v="2025-04-23T00:00:00"/>
    <d v="2025-05-01T00:00:00"/>
    <x v="2"/>
    <x v="123"/>
    <x v="6"/>
    <s v="Gina Alexander"/>
    <n v="8"/>
    <s v="high"/>
    <s v="high risk"/>
  </r>
  <r>
    <x v="127"/>
    <x v="127"/>
    <x v="54"/>
    <s v="M"/>
    <n v="10"/>
    <d v="2025-06-02T00:00:00"/>
    <d v="2025-06-08T00:00:00"/>
    <x v="0"/>
    <x v="124"/>
    <x v="9"/>
    <s v="Edward Montes"/>
    <n v="6"/>
    <s v="high"/>
    <s v="high risk"/>
  </r>
  <r>
    <x v="128"/>
    <x v="128"/>
    <x v="18"/>
    <s v="F"/>
    <n v="5"/>
    <d v="2025-02-25T00:00:00"/>
    <d v="2025-06-13T00:00:00"/>
    <x v="0"/>
    <x v="125"/>
    <x v="6"/>
    <s v="Edward Montes"/>
    <n v="108"/>
    <s v="high"/>
    <s v="low risk"/>
  </r>
  <r>
    <x v="129"/>
    <x v="129"/>
    <x v="5"/>
    <s v="F"/>
    <n v="7"/>
    <d v="2025-06-10T00:00:00"/>
    <d v="2025-06-13T00:00:00"/>
    <x v="0"/>
    <x v="126"/>
    <x v="8"/>
    <s v="Edward Montes"/>
    <n v="3"/>
    <s v="high"/>
    <s v="high risk"/>
  </r>
  <r>
    <x v="130"/>
    <x v="130"/>
    <x v="11"/>
    <s v="M"/>
    <n v="9"/>
    <d v="2025-06-15T00:00:00"/>
    <d v="2025-06-21T00:00:00"/>
    <x v="0"/>
    <x v="127"/>
    <x v="3"/>
    <s v="Edward Montes"/>
    <n v="6"/>
    <s v="high"/>
    <s v="high risk"/>
  </r>
  <r>
    <x v="131"/>
    <x v="131"/>
    <x v="10"/>
    <s v="F"/>
    <n v="5"/>
    <d v="2025-04-27T00:00:00"/>
    <d v="2025-05-03T00:00:00"/>
    <x v="2"/>
    <x v="128"/>
    <x v="6"/>
    <s v="Gina Alexander"/>
    <n v="6"/>
    <s v="high"/>
    <s v="high risk"/>
  </r>
  <r>
    <x v="132"/>
    <x v="132"/>
    <x v="32"/>
    <s v="M"/>
    <n v="1"/>
    <d v="2025-05-14T00:00:00"/>
    <d v="2025-05-18T00:00:00"/>
    <x v="2"/>
    <x v="129"/>
    <x v="5"/>
    <s v="Gina Alexander"/>
    <n v="4"/>
    <s v="high"/>
    <s v="low risk"/>
  </r>
  <r>
    <x v="133"/>
    <x v="133"/>
    <x v="45"/>
    <s v="M"/>
    <n v="10"/>
    <d v="2025-02-27T00:00:00"/>
    <d v="2025-03-06T00:00:00"/>
    <x v="1"/>
    <x v="130"/>
    <x v="9"/>
    <s v="Jessica Zimmerman"/>
    <n v="7"/>
    <s v="high"/>
    <s v="high risk"/>
  </r>
  <r>
    <x v="134"/>
    <x v="134"/>
    <x v="5"/>
    <s v="F"/>
    <n v="10"/>
    <d v="2025-02-13T00:00:00"/>
    <d v="2025-04-13T00:00:00"/>
    <x v="1"/>
    <x v="131"/>
    <x v="9"/>
    <s v="Jessica Zimmerman"/>
    <n v="59"/>
    <s v="high"/>
    <s v="high risk"/>
  </r>
  <r>
    <x v="135"/>
    <x v="135"/>
    <x v="44"/>
    <s v="F"/>
    <n v="1"/>
    <d v="2025-06-22T00:00:00"/>
    <d v="2025-06-27T00:00:00"/>
    <x v="0"/>
    <x v="132"/>
    <x v="5"/>
    <s v="Edward Montes"/>
    <n v="5"/>
    <s v="high"/>
    <s v="high risk"/>
  </r>
  <r>
    <x v="136"/>
    <x v="136"/>
    <x v="44"/>
    <s v="M"/>
    <n v="2"/>
    <d v="2025-06-09T00:00:00"/>
    <d v="2025-06-11T00:00:00"/>
    <x v="2"/>
    <x v="133"/>
    <x v="0"/>
    <s v="Gina Alexander"/>
    <n v="2"/>
    <s v="high"/>
    <s v="high risk"/>
  </r>
  <r>
    <x v="137"/>
    <x v="137"/>
    <x v="22"/>
    <s v="F"/>
    <n v="6"/>
    <d v="2025-06-22T00:00:00"/>
    <d v="2025-07-02T00:00:00"/>
    <x v="2"/>
    <x v="134"/>
    <x v="1"/>
    <s v="Gina Alexander"/>
    <n v="10"/>
    <s v="high"/>
    <s v="high risk"/>
  </r>
  <r>
    <x v="138"/>
    <x v="138"/>
    <x v="27"/>
    <s v="F"/>
    <n v="9"/>
    <d v="2025-03-02T00:00:00"/>
    <d v="2025-03-11T00:00:00"/>
    <x v="2"/>
    <x v="135"/>
    <x v="3"/>
    <s v="Gina Alexander"/>
    <n v="9"/>
    <s v="high"/>
    <s v="low risk"/>
  </r>
  <r>
    <x v="139"/>
    <x v="139"/>
    <x v="55"/>
    <s v="M"/>
    <n v="8"/>
    <d v="2025-02-16T00:00:00"/>
    <d v="2025-03-31T00:00:00"/>
    <x v="1"/>
    <x v="136"/>
    <x v="7"/>
    <s v="Jessica Zimmerman"/>
    <n v="43"/>
    <s v="high"/>
    <s v="high risk"/>
  </r>
  <r>
    <x v="140"/>
    <x v="140"/>
    <x v="28"/>
    <s v="M"/>
    <n v="5"/>
    <d v="2025-05-29T00:00:00"/>
    <d v="2025-06-01T00:00:00"/>
    <x v="1"/>
    <x v="137"/>
    <x v="6"/>
    <s v="Jessica Zimmerman"/>
    <n v="3"/>
    <s v="high"/>
    <s v="low risk"/>
  </r>
  <r>
    <x v="141"/>
    <x v="141"/>
    <x v="0"/>
    <s v="F"/>
    <n v="1"/>
    <d v="2025-03-21T00:00:00"/>
    <d v="2025-03-30T00:00:00"/>
    <x v="2"/>
    <x v="138"/>
    <x v="5"/>
    <s v="Gina Alexander"/>
    <n v="9"/>
    <s v="high"/>
    <s v="low risk"/>
  </r>
  <r>
    <x v="142"/>
    <x v="142"/>
    <x v="7"/>
    <s v="M"/>
    <n v="7"/>
    <d v="2025-04-28T00:00:00"/>
    <d v="2025-05-02T00:00:00"/>
    <x v="2"/>
    <x v="139"/>
    <x v="8"/>
    <s v="Gina Alexander"/>
    <n v="4"/>
    <s v="high"/>
    <s v="low risk"/>
  </r>
  <r>
    <x v="143"/>
    <x v="143"/>
    <x v="53"/>
    <s v="M"/>
    <n v="5"/>
    <d v="2025-06-13T00:00:00"/>
    <d v="2025-06-16T00:00:00"/>
    <x v="2"/>
    <x v="140"/>
    <x v="6"/>
    <s v="Gina Alexander"/>
    <n v="3"/>
    <s v="high"/>
    <s v="low risk"/>
  </r>
  <r>
    <x v="144"/>
    <x v="144"/>
    <x v="29"/>
    <s v="F"/>
    <n v="6"/>
    <d v="2025-05-27T00:00:00"/>
    <d v="2025-06-04T00:00:00"/>
    <x v="1"/>
    <x v="141"/>
    <x v="1"/>
    <s v="Jessica Zimmerman"/>
    <n v="8"/>
    <s v="high"/>
    <s v="high risk"/>
  </r>
  <r>
    <x v="145"/>
    <x v="145"/>
    <x v="36"/>
    <s v="M"/>
    <n v="7"/>
    <d v="2025-01-20T00:00:00"/>
    <d v="2025-04-18T00:00:00"/>
    <x v="2"/>
    <x v="142"/>
    <x v="8"/>
    <s v="Gina Alexander"/>
    <n v="88"/>
    <s v="high"/>
    <s v="high risk"/>
  </r>
  <r>
    <x v="146"/>
    <x v="146"/>
    <x v="37"/>
    <s v="M"/>
    <n v="3"/>
    <d v="2025-05-26T00:00:00"/>
    <d v="2025-07-08T00:00:00"/>
    <x v="2"/>
    <x v="143"/>
    <x v="2"/>
    <s v="Gina Alexander"/>
    <n v="43"/>
    <s v="high"/>
    <s v="high risk"/>
  </r>
  <r>
    <x v="147"/>
    <x v="147"/>
    <x v="5"/>
    <s v="F"/>
    <n v="10"/>
    <d v="2025-02-16T00:00:00"/>
    <d v="2025-02-25T00:00:00"/>
    <x v="0"/>
    <x v="144"/>
    <x v="9"/>
    <s v="Edward Montes"/>
    <n v="9"/>
    <s v="high"/>
    <s v="high risk"/>
  </r>
  <r>
    <x v="148"/>
    <x v="148"/>
    <x v="23"/>
    <s v="F"/>
    <n v="3"/>
    <d v="2025-02-18T00:00:00"/>
    <d v="2025-05-16T00:00:00"/>
    <x v="0"/>
    <x v="145"/>
    <x v="2"/>
    <s v="Edward Montes"/>
    <n v="87"/>
    <s v="high"/>
    <s v="high risk"/>
  </r>
  <r>
    <x v="149"/>
    <x v="149"/>
    <x v="48"/>
    <s v="M"/>
    <n v="5"/>
    <d v="2025-01-14T00:00:00"/>
    <d v="2025-03-06T00:00:00"/>
    <x v="1"/>
    <x v="146"/>
    <x v="6"/>
    <s v="Jessica Zimmerman"/>
    <n v="51"/>
    <s v="high"/>
    <s v="high risk"/>
  </r>
  <r>
    <x v="150"/>
    <x v="150"/>
    <x v="22"/>
    <s v="M"/>
    <n v="6"/>
    <d v="2025-05-23T00:00:00"/>
    <d v="2025-05-30T00:00:00"/>
    <x v="2"/>
    <x v="147"/>
    <x v="1"/>
    <s v="Gina Alexander"/>
    <n v="7"/>
    <s v="high"/>
    <s v="high risk"/>
  </r>
  <r>
    <x v="151"/>
    <x v="151"/>
    <x v="51"/>
    <s v="F"/>
    <n v="9"/>
    <d v="2025-06-08T00:00:00"/>
    <d v="2025-06-13T00:00:00"/>
    <x v="2"/>
    <x v="148"/>
    <x v="3"/>
    <s v="Gina Alexander"/>
    <n v="5"/>
    <s v="high"/>
    <s v="low risk"/>
  </r>
  <r>
    <x v="152"/>
    <x v="152"/>
    <x v="33"/>
    <s v="F"/>
    <n v="5"/>
    <d v="2025-01-01T00:00:00"/>
    <d v="2025-03-28T00:00:00"/>
    <x v="0"/>
    <x v="149"/>
    <x v="6"/>
    <s v="Edward Montes"/>
    <n v="86"/>
    <s v="high"/>
    <s v="low risk"/>
  </r>
  <r>
    <x v="153"/>
    <x v="153"/>
    <x v="9"/>
    <s v="F"/>
    <n v="1"/>
    <d v="2025-04-27T00:00:00"/>
    <d v="2025-05-19T00:00:00"/>
    <x v="1"/>
    <x v="150"/>
    <x v="5"/>
    <s v="Jessica Zimmerman"/>
    <n v="22"/>
    <s v="high"/>
    <s v="high risk"/>
  </r>
  <r>
    <x v="154"/>
    <x v="154"/>
    <x v="11"/>
    <s v="F"/>
    <n v="4"/>
    <d v="2025-02-23T00:00:00"/>
    <d v="2025-04-28T00:00:00"/>
    <x v="0"/>
    <x v="151"/>
    <x v="4"/>
    <s v="Edward Montes"/>
    <n v="64"/>
    <s v="high"/>
    <s v="high risk"/>
  </r>
  <r>
    <x v="155"/>
    <x v="155"/>
    <x v="35"/>
    <s v="M"/>
    <n v="5"/>
    <d v="2025-04-28T00:00:00"/>
    <d v="2025-06-12T00:00:00"/>
    <x v="0"/>
    <x v="152"/>
    <x v="6"/>
    <s v="Edward Montes"/>
    <n v="45"/>
    <s v="high"/>
    <s v="low risk"/>
  </r>
  <r>
    <x v="156"/>
    <x v="156"/>
    <x v="44"/>
    <s v="F"/>
    <n v="10"/>
    <d v="2025-01-03T00:00:00"/>
    <d v="2025-01-23T00:00:00"/>
    <x v="0"/>
    <x v="153"/>
    <x v="9"/>
    <s v="Edward Montes"/>
    <n v="20"/>
    <s v="high"/>
    <s v="high risk"/>
  </r>
  <r>
    <x v="157"/>
    <x v="157"/>
    <x v="18"/>
    <s v="F"/>
    <n v="10"/>
    <d v="2025-05-24T00:00:00"/>
    <d v="2025-06-02T00:00:00"/>
    <x v="0"/>
    <x v="154"/>
    <x v="9"/>
    <s v="Edward Montes"/>
    <n v="9"/>
    <s v="high"/>
    <s v="low risk"/>
  </r>
  <r>
    <x v="158"/>
    <x v="158"/>
    <x v="14"/>
    <s v="M"/>
    <n v="5"/>
    <d v="2025-01-12T00:00:00"/>
    <d v="2025-05-04T00:00:00"/>
    <x v="2"/>
    <x v="155"/>
    <x v="6"/>
    <s v="Gina Alexander"/>
    <n v="112"/>
    <s v="high"/>
    <s v="low risk"/>
  </r>
  <r>
    <x v="159"/>
    <x v="159"/>
    <x v="16"/>
    <s v="F"/>
    <n v="7"/>
    <d v="2025-03-15T00:00:00"/>
    <d v="2025-03-19T00:00:00"/>
    <x v="2"/>
    <x v="156"/>
    <x v="8"/>
    <s v="Gina Alexander"/>
    <n v="4"/>
    <s v="high"/>
    <s v="high risk"/>
  </r>
  <r>
    <x v="160"/>
    <x v="160"/>
    <x v="26"/>
    <s v="M"/>
    <n v="4"/>
    <d v="2025-01-16T00:00:00"/>
    <d v="2025-01-22T00:00:00"/>
    <x v="0"/>
    <x v="157"/>
    <x v="4"/>
    <s v="Edward Montes"/>
    <n v="6"/>
    <s v="high"/>
    <s v="high risk"/>
  </r>
  <r>
    <x v="161"/>
    <x v="161"/>
    <x v="44"/>
    <s v="F"/>
    <n v="1"/>
    <d v="2025-04-12T00:00:00"/>
    <d v="2025-04-30T00:00:00"/>
    <x v="1"/>
    <x v="158"/>
    <x v="5"/>
    <s v="Jessica Zimmerman"/>
    <n v="18"/>
    <s v="high"/>
    <s v="high risk"/>
  </r>
  <r>
    <x v="162"/>
    <x v="162"/>
    <x v="54"/>
    <s v="F"/>
    <n v="5"/>
    <d v="2025-06-01T00:00:00"/>
    <d v="2025-06-09T00:00:00"/>
    <x v="1"/>
    <x v="159"/>
    <x v="6"/>
    <s v="Jessica Zimmerman"/>
    <n v="8"/>
    <s v="high"/>
    <s v="high risk"/>
  </r>
  <r>
    <x v="163"/>
    <x v="163"/>
    <x v="44"/>
    <s v="F"/>
    <n v="7"/>
    <d v="2025-06-05T00:00:00"/>
    <d v="2025-06-06T00:00:00"/>
    <x v="1"/>
    <x v="160"/>
    <x v="8"/>
    <s v="Jessica Zimmerman"/>
    <n v="1"/>
    <s v="high"/>
    <s v="high risk"/>
  </r>
  <r>
    <x v="164"/>
    <x v="164"/>
    <x v="35"/>
    <s v="M"/>
    <n v="10"/>
    <d v="2025-04-27T00:00:00"/>
    <d v="2025-05-01T00:00:00"/>
    <x v="1"/>
    <x v="161"/>
    <x v="9"/>
    <s v="Jessica Zimmerman"/>
    <n v="4"/>
    <s v="high"/>
    <s v="low risk"/>
  </r>
  <r>
    <x v="165"/>
    <x v="165"/>
    <x v="31"/>
    <s v="M"/>
    <n v="10"/>
    <d v="2025-01-08T00:00:00"/>
    <d v="2025-02-16T00:00:00"/>
    <x v="0"/>
    <x v="162"/>
    <x v="9"/>
    <s v="Edward Montes"/>
    <n v="39"/>
    <s v="high"/>
    <s v="low risk"/>
  </r>
  <r>
    <x v="166"/>
    <x v="166"/>
    <x v="40"/>
    <s v="F"/>
    <n v="6"/>
    <d v="2025-05-02T00:00:00"/>
    <d v="2025-05-04T00:00:00"/>
    <x v="2"/>
    <x v="163"/>
    <x v="1"/>
    <s v="Gina Alexander"/>
    <n v="2"/>
    <s v="high"/>
    <s v="high risk"/>
  </r>
  <r>
    <x v="167"/>
    <x v="167"/>
    <x v="15"/>
    <s v="M"/>
    <n v="5"/>
    <d v="2025-04-02T00:00:00"/>
    <d v="2025-04-03T00:00:00"/>
    <x v="1"/>
    <x v="164"/>
    <x v="6"/>
    <s v="Jessica Zimmerman"/>
    <n v="1"/>
    <s v="high"/>
    <s v="high risk"/>
  </r>
  <r>
    <x v="168"/>
    <x v="168"/>
    <x v="54"/>
    <s v="M"/>
    <n v="4"/>
    <d v="2025-06-13T00:00:00"/>
    <d v="2025-06-19T00:00:00"/>
    <x v="0"/>
    <x v="165"/>
    <x v="4"/>
    <s v="Edward Montes"/>
    <n v="6"/>
    <s v="high"/>
    <s v="high risk"/>
  </r>
  <r>
    <x v="169"/>
    <x v="169"/>
    <x v="55"/>
    <s v="M"/>
    <n v="2"/>
    <d v="2025-03-31T00:00:00"/>
    <d v="2025-04-07T00:00:00"/>
    <x v="1"/>
    <x v="166"/>
    <x v="0"/>
    <s v="Jessica Zimmerman"/>
    <n v="7"/>
    <s v="high"/>
    <s v="high risk"/>
  </r>
  <r>
    <x v="170"/>
    <x v="170"/>
    <x v="42"/>
    <s v="M"/>
    <n v="4"/>
    <d v="2025-05-16T00:00:00"/>
    <d v="2025-05-21T00:00:00"/>
    <x v="1"/>
    <x v="167"/>
    <x v="4"/>
    <s v="Jessica Zimmerman"/>
    <n v="5"/>
    <s v="high"/>
    <s v="high risk"/>
  </r>
  <r>
    <x v="171"/>
    <x v="171"/>
    <x v="33"/>
    <s v="M"/>
    <n v="10"/>
    <d v="2025-03-01T00:00:00"/>
    <d v="2025-03-03T00:00:00"/>
    <x v="0"/>
    <x v="168"/>
    <x v="9"/>
    <s v="Edward Montes"/>
    <n v="2"/>
    <s v="high"/>
    <s v="low risk"/>
  </r>
  <r>
    <x v="172"/>
    <x v="172"/>
    <x v="40"/>
    <s v="M"/>
    <n v="10"/>
    <d v="2025-06-27T00:00:00"/>
    <d v="2025-07-01T00:00:00"/>
    <x v="2"/>
    <x v="169"/>
    <x v="9"/>
    <s v="Gina Alexander"/>
    <n v="4"/>
    <s v="high"/>
    <s v="high risk"/>
  </r>
  <r>
    <x v="173"/>
    <x v="173"/>
    <x v="0"/>
    <s v="F"/>
    <n v="3"/>
    <d v="2025-01-28T00:00:00"/>
    <d v="2025-05-15T00:00:00"/>
    <x v="2"/>
    <x v="170"/>
    <x v="2"/>
    <s v="Gina Alexander"/>
    <n v="107"/>
    <s v="high"/>
    <s v="low risk"/>
  </r>
  <r>
    <x v="174"/>
    <x v="174"/>
    <x v="26"/>
    <s v="F"/>
    <n v="10"/>
    <d v="2025-04-11T00:00:00"/>
    <d v="2025-04-21T00:00:00"/>
    <x v="0"/>
    <x v="171"/>
    <x v="9"/>
    <s v="Edward Montes"/>
    <n v="10"/>
    <s v="high"/>
    <s v="high risk"/>
  </r>
  <r>
    <x v="175"/>
    <x v="175"/>
    <x v="37"/>
    <s v="M"/>
    <n v="1"/>
    <d v="2025-02-10T00:00:00"/>
    <d v="2025-02-16T00:00:00"/>
    <x v="2"/>
    <x v="172"/>
    <x v="5"/>
    <s v="Gina Alexander"/>
    <n v="6"/>
    <s v="high"/>
    <s v="high risk"/>
  </r>
  <r>
    <x v="176"/>
    <x v="176"/>
    <x v="3"/>
    <s v="F"/>
    <n v="8"/>
    <d v="2025-06-04T00:00:00"/>
    <d v="2025-06-08T00:00:00"/>
    <x v="0"/>
    <x v="173"/>
    <x v="7"/>
    <s v="Edward Montes"/>
    <n v="4"/>
    <s v="high"/>
    <s v="high risk"/>
  </r>
  <r>
    <x v="177"/>
    <x v="177"/>
    <x v="3"/>
    <s v="F"/>
    <n v="5"/>
    <d v="2025-05-25T00:00:00"/>
    <d v="2025-06-02T00:00:00"/>
    <x v="0"/>
    <x v="174"/>
    <x v="6"/>
    <s v="Edward Montes"/>
    <n v="8"/>
    <s v="high"/>
    <s v="high risk"/>
  </r>
  <r>
    <x v="178"/>
    <x v="178"/>
    <x v="42"/>
    <s v="F"/>
    <n v="4"/>
    <d v="2025-06-10T00:00:00"/>
    <d v="2025-06-17T00:00:00"/>
    <x v="0"/>
    <x v="175"/>
    <x v="4"/>
    <s v="Edward Montes"/>
    <n v="7"/>
    <s v="high"/>
    <s v="high risk"/>
  </r>
  <r>
    <x v="179"/>
    <x v="179"/>
    <x v="28"/>
    <s v="F"/>
    <n v="8"/>
    <d v="2025-06-06T00:00:00"/>
    <d v="2025-06-14T00:00:00"/>
    <x v="2"/>
    <x v="176"/>
    <x v="7"/>
    <s v="Gina Alexander"/>
    <n v="8"/>
    <s v="high"/>
    <s v="low risk"/>
  </r>
  <r>
    <x v="180"/>
    <x v="180"/>
    <x v="21"/>
    <s v="M"/>
    <n v="7"/>
    <d v="2025-05-21T00:00:00"/>
    <d v="2025-05-27T00:00:00"/>
    <x v="0"/>
    <x v="177"/>
    <x v="8"/>
    <s v="Edward Montes"/>
    <n v="6"/>
    <s v="high"/>
    <s v="low risk"/>
  </r>
  <r>
    <x v="181"/>
    <x v="181"/>
    <x v="56"/>
    <s v="F"/>
    <n v="2"/>
    <d v="2025-02-15T00:00:00"/>
    <d v="2025-03-17T00:00:00"/>
    <x v="1"/>
    <x v="178"/>
    <x v="0"/>
    <s v="Jessica Zimmerman"/>
    <n v="30"/>
    <s v="high"/>
    <s v="high risk"/>
  </r>
  <r>
    <x v="182"/>
    <x v="182"/>
    <x v="32"/>
    <s v="F"/>
    <n v="1"/>
    <d v="2025-02-04T00:00:00"/>
    <d v="2025-04-28T00:00:00"/>
    <x v="2"/>
    <x v="179"/>
    <x v="5"/>
    <s v="Gina Alexander"/>
    <n v="83"/>
    <s v="high"/>
    <s v="low risk"/>
  </r>
  <r>
    <x v="183"/>
    <x v="183"/>
    <x v="57"/>
    <s v="M"/>
    <n v="4"/>
    <d v="2025-05-14T00:00:00"/>
    <d v="2025-06-04T00:00:00"/>
    <x v="2"/>
    <x v="180"/>
    <x v="4"/>
    <s v="Gina Alexander"/>
    <n v="21"/>
    <s v="high"/>
    <s v="high risk"/>
  </r>
  <r>
    <x v="184"/>
    <x v="184"/>
    <x v="0"/>
    <s v="M"/>
    <n v="8"/>
    <d v="2025-03-23T00:00:00"/>
    <d v="2025-04-30T00:00:00"/>
    <x v="2"/>
    <x v="181"/>
    <x v="7"/>
    <s v="Gina Alexander"/>
    <n v="38"/>
    <s v="high"/>
    <s v="low risk"/>
  </r>
  <r>
    <x v="185"/>
    <x v="185"/>
    <x v="25"/>
    <s v="F"/>
    <n v="2"/>
    <d v="2025-04-25T00:00:00"/>
    <d v="2025-04-30T00:00:00"/>
    <x v="2"/>
    <x v="182"/>
    <x v="0"/>
    <s v="Gina Alexander"/>
    <n v="5"/>
    <s v="high"/>
    <s v="low risk"/>
  </r>
  <r>
    <x v="186"/>
    <x v="186"/>
    <x v="1"/>
    <s v="F"/>
    <n v="3"/>
    <d v="2025-02-16T00:00:00"/>
    <d v="2025-02-19T00:00:00"/>
    <x v="1"/>
    <x v="183"/>
    <x v="2"/>
    <s v="Jessica Zimmerman"/>
    <n v="3"/>
    <s v="high"/>
    <s v="low risk"/>
  </r>
  <r>
    <x v="187"/>
    <x v="187"/>
    <x v="57"/>
    <s v="F"/>
    <n v="1"/>
    <d v="2025-06-02T00:00:00"/>
    <d v="2025-06-07T00:00:00"/>
    <x v="2"/>
    <x v="184"/>
    <x v="5"/>
    <s v="Gina Alexander"/>
    <n v="5"/>
    <s v="high"/>
    <s v="high risk"/>
  </r>
  <r>
    <x v="188"/>
    <x v="188"/>
    <x v="39"/>
    <s v="F"/>
    <n v="1"/>
    <d v="2025-01-10T00:00:00"/>
    <d v="2025-01-17T00:00:00"/>
    <x v="2"/>
    <x v="185"/>
    <x v="5"/>
    <s v="Gina Alexander"/>
    <n v="7"/>
    <s v="high"/>
    <s v="high risk"/>
  </r>
  <r>
    <x v="189"/>
    <x v="189"/>
    <x v="19"/>
    <s v="F"/>
    <n v="3"/>
    <d v="2025-02-25T00:00:00"/>
    <d v="2025-06-26T00:00:00"/>
    <x v="0"/>
    <x v="186"/>
    <x v="2"/>
    <s v="Edward Montes"/>
    <n v="121"/>
    <s v="high"/>
    <s v="high risk"/>
  </r>
  <r>
    <x v="190"/>
    <x v="190"/>
    <x v="35"/>
    <s v="F"/>
    <n v="5"/>
    <d v="2025-01-30T00:00:00"/>
    <d v="2025-05-02T00:00:00"/>
    <x v="2"/>
    <x v="187"/>
    <x v="6"/>
    <s v="Gina Alexander"/>
    <n v="92"/>
    <s v="high"/>
    <s v="low risk"/>
  </r>
  <r>
    <x v="191"/>
    <x v="191"/>
    <x v="9"/>
    <s v="M"/>
    <n v="3"/>
    <d v="2025-04-19T00:00:00"/>
    <d v="2025-04-22T00:00:00"/>
    <x v="1"/>
    <x v="65"/>
    <x v="2"/>
    <s v="Jessica Zimmerman"/>
    <n v="3"/>
    <s v="high"/>
    <s v="high risk"/>
  </r>
  <r>
    <x v="192"/>
    <x v="192"/>
    <x v="0"/>
    <s v="F"/>
    <n v="1"/>
    <d v="2025-01-05T00:00:00"/>
    <d v="2025-02-20T00:00:00"/>
    <x v="1"/>
    <x v="188"/>
    <x v="5"/>
    <s v="Jessica Zimmerman"/>
    <n v="46"/>
    <s v="high"/>
    <s v="low risk"/>
  </r>
  <r>
    <x v="193"/>
    <x v="193"/>
    <x v="52"/>
    <s v="F"/>
    <n v="1"/>
    <d v="2025-04-29T00:00:00"/>
    <d v="2025-06-27T00:00:00"/>
    <x v="1"/>
    <x v="189"/>
    <x v="5"/>
    <s v="Jessica Zimmerman"/>
    <n v="59"/>
    <s v="high"/>
    <s v="low risk"/>
  </r>
  <r>
    <x v="194"/>
    <x v="194"/>
    <x v="3"/>
    <s v="M"/>
    <n v="8"/>
    <d v="2025-02-02T00:00:00"/>
    <d v="2025-04-20T00:00:00"/>
    <x v="1"/>
    <x v="190"/>
    <x v="7"/>
    <s v="Jessica Zimmerman"/>
    <n v="77"/>
    <s v="high"/>
    <s v="high risk"/>
  </r>
  <r>
    <x v="195"/>
    <x v="195"/>
    <x v="4"/>
    <s v="M"/>
    <n v="10"/>
    <d v="2025-04-28T00:00:00"/>
    <d v="2025-05-02T00:00:00"/>
    <x v="2"/>
    <x v="191"/>
    <x v="9"/>
    <s v="Gina Alexander"/>
    <n v="4"/>
    <s v="high"/>
    <s v="low risk"/>
  </r>
  <r>
    <x v="196"/>
    <x v="196"/>
    <x v="2"/>
    <s v="M"/>
    <n v="2"/>
    <d v="2025-03-06T00:00:00"/>
    <d v="2025-07-08T00:00:00"/>
    <x v="2"/>
    <x v="192"/>
    <x v="0"/>
    <s v="Gina Alexander"/>
    <n v="124"/>
    <s v="high"/>
    <s v="high risk"/>
  </r>
  <r>
    <x v="197"/>
    <x v="197"/>
    <x v="13"/>
    <s v="M"/>
    <n v="3"/>
    <d v="2025-05-26T00:00:00"/>
    <d v="2025-06-04T00:00:00"/>
    <x v="1"/>
    <x v="193"/>
    <x v="2"/>
    <s v="Jessica Zimmerman"/>
    <n v="9"/>
    <s v="high"/>
    <s v="low risk"/>
  </r>
  <r>
    <x v="198"/>
    <x v="198"/>
    <x v="56"/>
    <s v="F"/>
    <n v="2"/>
    <d v="2025-06-26T00:00:00"/>
    <d v="2025-07-05T00:00:00"/>
    <x v="1"/>
    <x v="194"/>
    <x v="0"/>
    <s v="Jessica Zimmerman"/>
    <n v="9"/>
    <s v="high"/>
    <s v="high risk"/>
  </r>
  <r>
    <x v="199"/>
    <x v="199"/>
    <x v="57"/>
    <s v="F"/>
    <n v="3"/>
    <d v="2025-01-11T00:00:00"/>
    <d v="2025-03-09T00:00:00"/>
    <x v="2"/>
    <x v="195"/>
    <x v="2"/>
    <s v="Gina Alexander"/>
    <n v="57"/>
    <s v="high"/>
    <s v="high ris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25E90-C92E-4F50-9D85-55017C5BAC35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4" firstHeaderRow="1" firstDataRow="1" firstDataCol="1" rowPageCount="1" colPageCount="1"/>
  <pivotFields count="14">
    <pivotField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>
      <items count="201">
        <item x="24"/>
        <item x="173"/>
        <item x="94"/>
        <item x="135"/>
        <item x="122"/>
        <item x="97"/>
        <item x="193"/>
        <item x="106"/>
        <item x="160"/>
        <item x="34"/>
        <item x="111"/>
        <item x="93"/>
        <item x="115"/>
        <item x="120"/>
        <item x="54"/>
        <item x="108"/>
        <item x="9"/>
        <item x="187"/>
        <item x="35"/>
        <item x="41"/>
        <item x="87"/>
        <item x="104"/>
        <item x="26"/>
        <item x="27"/>
        <item x="134"/>
        <item x="30"/>
        <item x="53"/>
        <item x="46"/>
        <item x="125"/>
        <item x="10"/>
        <item x="47"/>
        <item x="197"/>
        <item x="130"/>
        <item x="18"/>
        <item x="131"/>
        <item x="88"/>
        <item x="58"/>
        <item x="133"/>
        <item x="99"/>
        <item x="13"/>
        <item x="67"/>
        <item x="178"/>
        <item x="190"/>
        <item x="113"/>
        <item x="44"/>
        <item x="96"/>
        <item x="198"/>
        <item x="196"/>
        <item x="151"/>
        <item x="144"/>
        <item x="118"/>
        <item x="0"/>
        <item x="138"/>
        <item x="22"/>
        <item x="81"/>
        <item x="191"/>
        <item x="167"/>
        <item x="180"/>
        <item x="2"/>
        <item x="199"/>
        <item x="169"/>
        <item x="147"/>
        <item x="55"/>
        <item x="4"/>
        <item x="29"/>
        <item x="103"/>
        <item x="123"/>
        <item x="124"/>
        <item x="90"/>
        <item x="188"/>
        <item x="69"/>
        <item x="183"/>
        <item x="7"/>
        <item x="146"/>
        <item x="60"/>
        <item x="62"/>
        <item x="84"/>
        <item x="8"/>
        <item x="149"/>
        <item x="114"/>
        <item x="92"/>
        <item x="121"/>
        <item x="176"/>
        <item x="17"/>
        <item x="145"/>
        <item x="137"/>
        <item x="1"/>
        <item x="161"/>
        <item x="70"/>
        <item x="174"/>
        <item x="194"/>
        <item x="23"/>
        <item x="102"/>
        <item x="136"/>
        <item x="19"/>
        <item x="126"/>
        <item x="95"/>
        <item x="75"/>
        <item x="158"/>
        <item x="91"/>
        <item x="56"/>
        <item x="148"/>
        <item x="28"/>
        <item x="49"/>
        <item x="79"/>
        <item x="43"/>
        <item x="100"/>
        <item x="112"/>
        <item x="85"/>
        <item x="14"/>
        <item x="171"/>
        <item x="12"/>
        <item x="142"/>
        <item x="181"/>
        <item x="159"/>
        <item x="189"/>
        <item x="64"/>
        <item x="83"/>
        <item x="128"/>
        <item x="48"/>
        <item x="3"/>
        <item x="184"/>
        <item x="98"/>
        <item x="172"/>
        <item x="50"/>
        <item x="132"/>
        <item x="38"/>
        <item x="78"/>
        <item x="5"/>
        <item x="74"/>
        <item x="185"/>
        <item x="51"/>
        <item x="164"/>
        <item x="32"/>
        <item x="36"/>
        <item x="110"/>
        <item x="45"/>
        <item x="153"/>
        <item x="127"/>
        <item x="105"/>
        <item x="150"/>
        <item x="192"/>
        <item x="117"/>
        <item x="20"/>
        <item x="42"/>
        <item x="179"/>
        <item x="39"/>
        <item x="15"/>
        <item x="86"/>
        <item x="52"/>
        <item x="109"/>
        <item x="63"/>
        <item x="139"/>
        <item x="165"/>
        <item x="175"/>
        <item x="177"/>
        <item x="129"/>
        <item x="72"/>
        <item x="155"/>
        <item x="40"/>
        <item x="107"/>
        <item x="57"/>
        <item x="186"/>
        <item x="37"/>
        <item x="163"/>
        <item x="16"/>
        <item x="61"/>
        <item x="25"/>
        <item x="119"/>
        <item x="77"/>
        <item x="116"/>
        <item x="80"/>
        <item x="166"/>
        <item x="182"/>
        <item x="157"/>
        <item x="71"/>
        <item x="162"/>
        <item x="168"/>
        <item x="195"/>
        <item x="6"/>
        <item x="66"/>
        <item x="11"/>
        <item x="89"/>
        <item x="68"/>
        <item x="33"/>
        <item x="59"/>
        <item x="152"/>
        <item x="82"/>
        <item x="170"/>
        <item x="65"/>
        <item x="31"/>
        <item x="21"/>
        <item x="154"/>
        <item x="141"/>
        <item x="156"/>
        <item x="101"/>
        <item x="140"/>
        <item x="73"/>
        <item x="143"/>
        <item x="76"/>
        <item t="default"/>
      </items>
    </pivotField>
    <pivotField axis="axisPage" showAll="0">
      <items count="59">
        <item x="54"/>
        <item x="17"/>
        <item x="15"/>
        <item x="39"/>
        <item x="55"/>
        <item x="46"/>
        <item x="36"/>
        <item x="5"/>
        <item x="37"/>
        <item x="49"/>
        <item x="10"/>
        <item x="23"/>
        <item x="56"/>
        <item x="40"/>
        <item x="3"/>
        <item x="30"/>
        <item x="45"/>
        <item x="38"/>
        <item x="8"/>
        <item x="43"/>
        <item x="6"/>
        <item x="16"/>
        <item x="9"/>
        <item x="11"/>
        <item x="24"/>
        <item x="42"/>
        <item x="26"/>
        <item x="29"/>
        <item x="2"/>
        <item x="19"/>
        <item x="50"/>
        <item x="57"/>
        <item x="22"/>
        <item x="48"/>
        <item x="44"/>
        <item x="13"/>
        <item x="35"/>
        <item x="20"/>
        <item x="0"/>
        <item x="14"/>
        <item x="53"/>
        <item x="28"/>
        <item x="4"/>
        <item x="18"/>
        <item x="52"/>
        <item x="31"/>
        <item x="51"/>
        <item x="25"/>
        <item x="41"/>
        <item x="32"/>
        <item x="1"/>
        <item x="12"/>
        <item x="47"/>
        <item x="33"/>
        <item x="34"/>
        <item x="7"/>
        <item x="27"/>
        <item x="21"/>
        <item t="default"/>
      </items>
    </pivotField>
    <pivotField showAll="0"/>
    <pivotField showAll="0"/>
    <pivotField numFmtId="14" showAll="0"/>
    <pivotField numFmtId="14" showAll="0"/>
    <pivotField showAll="0">
      <items count="4">
        <item x="0"/>
        <item x="1"/>
        <item x="2"/>
        <item t="default"/>
      </items>
    </pivotField>
    <pivotField dataField="1" showAll="0">
      <items count="197">
        <item x="161"/>
        <item x="21"/>
        <item x="59"/>
        <item x="128"/>
        <item x="176"/>
        <item x="107"/>
        <item x="72"/>
        <item x="74"/>
        <item x="73"/>
        <item x="68"/>
        <item x="66"/>
        <item x="24"/>
        <item x="104"/>
        <item x="120"/>
        <item x="133"/>
        <item x="10"/>
        <item x="168"/>
        <item x="145"/>
        <item x="119"/>
        <item x="79"/>
        <item x="100"/>
        <item x="6"/>
        <item x="116"/>
        <item x="44"/>
        <item x="191"/>
        <item x="57"/>
        <item x="155"/>
        <item x="127"/>
        <item x="69"/>
        <item x="9"/>
        <item x="42"/>
        <item x="110"/>
        <item x="114"/>
        <item x="37"/>
        <item x="163"/>
        <item x="48"/>
        <item x="156"/>
        <item x="85"/>
        <item x="132"/>
        <item x="122"/>
        <item x="70"/>
        <item x="188"/>
        <item x="142"/>
        <item x="2"/>
        <item x="97"/>
        <item x="117"/>
        <item x="1"/>
        <item x="124"/>
        <item x="0"/>
        <item x="118"/>
        <item x="174"/>
        <item x="194"/>
        <item x="54"/>
        <item x="96"/>
        <item x="123"/>
        <item x="11"/>
        <item x="170"/>
        <item x="38"/>
        <item x="46"/>
        <item x="18"/>
        <item x="4"/>
        <item x="45"/>
        <item x="185"/>
        <item x="23"/>
        <item x="137"/>
        <item x="47"/>
        <item x="167"/>
        <item x="99"/>
        <item x="22"/>
        <item x="192"/>
        <item x="115"/>
        <item x="5"/>
        <item x="143"/>
        <item x="180"/>
        <item x="179"/>
        <item x="149"/>
        <item x="32"/>
        <item x="33"/>
        <item x="125"/>
        <item x="121"/>
        <item x="41"/>
        <item x="103"/>
        <item x="26"/>
        <item x="158"/>
        <item x="165"/>
        <item x="40"/>
        <item x="130"/>
        <item x="55"/>
        <item x="60"/>
        <item x="12"/>
        <item x="31"/>
        <item x="88"/>
        <item x="76"/>
        <item x="184"/>
        <item x="106"/>
        <item x="34"/>
        <item x="19"/>
        <item x="195"/>
        <item x="49"/>
        <item x="159"/>
        <item x="84"/>
        <item x="29"/>
        <item x="151"/>
        <item x="93"/>
        <item x="62"/>
        <item x="105"/>
        <item x="138"/>
        <item x="92"/>
        <item x="169"/>
        <item x="113"/>
        <item x="14"/>
        <item x="126"/>
        <item x="50"/>
        <item x="95"/>
        <item x="83"/>
        <item x="87"/>
        <item x="81"/>
        <item x="154"/>
        <item x="153"/>
        <item x="146"/>
        <item x="101"/>
        <item x="80"/>
        <item x="52"/>
        <item x="64"/>
        <item x="78"/>
        <item x="140"/>
        <item x="94"/>
        <item x="28"/>
        <item x="109"/>
        <item x="102"/>
        <item x="189"/>
        <item x="141"/>
        <item x="90"/>
        <item x="164"/>
        <item x="82"/>
        <item x="86"/>
        <item x="186"/>
        <item x="16"/>
        <item x="111"/>
        <item x="135"/>
        <item x="36"/>
        <item x="98"/>
        <item x="39"/>
        <item x="144"/>
        <item x="175"/>
        <item x="171"/>
        <item x="20"/>
        <item x="89"/>
        <item x="148"/>
        <item x="27"/>
        <item x="53"/>
        <item x="173"/>
        <item x="172"/>
        <item x="160"/>
        <item x="157"/>
        <item x="91"/>
        <item x="67"/>
        <item x="61"/>
        <item x="75"/>
        <item x="51"/>
        <item x="43"/>
        <item x="108"/>
        <item x="139"/>
        <item x="112"/>
        <item x="181"/>
        <item x="134"/>
        <item x="77"/>
        <item x="178"/>
        <item x="35"/>
        <item x="193"/>
        <item x="150"/>
        <item x="56"/>
        <item x="7"/>
        <item x="13"/>
        <item x="15"/>
        <item x="131"/>
        <item x="30"/>
        <item x="182"/>
        <item x="177"/>
        <item x="190"/>
        <item x="17"/>
        <item x="58"/>
        <item x="129"/>
        <item x="136"/>
        <item x="166"/>
        <item x="187"/>
        <item x="162"/>
        <item x="183"/>
        <item x="3"/>
        <item x="8"/>
        <item x="152"/>
        <item x="147"/>
        <item x="63"/>
        <item x="25"/>
        <item x="65"/>
        <item x="71"/>
        <item t="default"/>
      </items>
    </pivotField>
    <pivotField axis="axisRow" showAll="0">
      <items count="11">
        <item x="7"/>
        <item x="4"/>
        <item x="8"/>
        <item x="1"/>
        <item x="0"/>
        <item x="2"/>
        <item x="5"/>
        <item x="3"/>
        <item x="9"/>
        <item x="6"/>
        <item t="default"/>
      </items>
    </pivotField>
    <pivotField showAll="0"/>
    <pivotField showAll="0"/>
    <pivotField showAll="0"/>
    <pivotField showAll="0"/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2" hier="-1"/>
  </pageFields>
  <dataFields count="1">
    <dataField name="Sum of TreatmentCost" fld="8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0CC18-1DCE-4E40-9B39-B873AD50D833}">
  <dimension ref="A1:B14"/>
  <sheetViews>
    <sheetView tabSelected="1" workbookViewId="0">
      <selection activeCell="E12" sqref="E12"/>
    </sheetView>
  </sheetViews>
  <sheetFormatPr defaultRowHeight="15" x14ac:dyDescent="0.25"/>
  <cols>
    <col min="1" max="1" width="14.42578125" bestFit="1" customWidth="1"/>
    <col min="2" max="2" width="21.7109375" bestFit="1" customWidth="1"/>
    <col min="3" max="4" width="7" bestFit="1" customWidth="1"/>
    <col min="5" max="5" width="11.28515625" bestFit="1" customWidth="1"/>
    <col min="6" max="64" width="5" bestFit="1" customWidth="1"/>
    <col min="65" max="65" width="6.85546875" bestFit="1" customWidth="1"/>
    <col min="66" max="132" width="5" bestFit="1" customWidth="1"/>
    <col min="133" max="133" width="6.85546875" bestFit="1" customWidth="1"/>
    <col min="134" max="202" width="5" bestFit="1" customWidth="1"/>
    <col min="203" max="203" width="6.85546875" bestFit="1" customWidth="1"/>
    <col min="204" max="204" width="11.28515625" bestFit="1" customWidth="1"/>
  </cols>
  <sheetData>
    <row r="1" spans="1:2" x14ac:dyDescent="0.25">
      <c r="A1" s="5" t="s">
        <v>2</v>
      </c>
      <c r="B1" t="s">
        <v>252</v>
      </c>
    </row>
    <row r="3" spans="1:2" x14ac:dyDescent="0.25">
      <c r="A3" s="5" t="s">
        <v>249</v>
      </c>
      <c r="B3" t="s">
        <v>251</v>
      </c>
    </row>
    <row r="4" spans="1:2" x14ac:dyDescent="0.25">
      <c r="A4" s="6" t="s">
        <v>239</v>
      </c>
      <c r="B4" s="7">
        <v>113539</v>
      </c>
    </row>
    <row r="5" spans="1:2" x14ac:dyDescent="0.25">
      <c r="A5" s="6" t="s">
        <v>235</v>
      </c>
      <c r="B5" s="7">
        <v>103544</v>
      </c>
    </row>
    <row r="6" spans="1:2" x14ac:dyDescent="0.25">
      <c r="A6" s="6" t="s">
        <v>238</v>
      </c>
      <c r="B6" s="7">
        <v>112219</v>
      </c>
    </row>
    <row r="7" spans="1:2" x14ac:dyDescent="0.25">
      <c r="A7" s="6" t="s">
        <v>237</v>
      </c>
      <c r="B7" s="7">
        <v>110654</v>
      </c>
    </row>
    <row r="8" spans="1:2" x14ac:dyDescent="0.25">
      <c r="A8" s="6" t="s">
        <v>233</v>
      </c>
      <c r="B8" s="7">
        <v>104604</v>
      </c>
    </row>
    <row r="9" spans="1:2" x14ac:dyDescent="0.25">
      <c r="A9" s="6" t="s">
        <v>234</v>
      </c>
      <c r="B9" s="7">
        <v>149681</v>
      </c>
    </row>
    <row r="10" spans="1:2" x14ac:dyDescent="0.25">
      <c r="A10" s="6" t="s">
        <v>232</v>
      </c>
      <c r="B10" s="7">
        <v>163926</v>
      </c>
    </row>
    <row r="11" spans="1:2" x14ac:dyDescent="0.25">
      <c r="A11" s="6" t="s">
        <v>240</v>
      </c>
      <c r="B11" s="7">
        <v>63290</v>
      </c>
    </row>
    <row r="12" spans="1:2" x14ac:dyDescent="0.25">
      <c r="A12" s="6" t="s">
        <v>241</v>
      </c>
      <c r="B12" s="7">
        <v>155376</v>
      </c>
    </row>
    <row r="13" spans="1:2" x14ac:dyDescent="0.25">
      <c r="A13" s="6" t="s">
        <v>236</v>
      </c>
      <c r="B13" s="7">
        <v>144149</v>
      </c>
    </row>
    <row r="14" spans="1:2" x14ac:dyDescent="0.25">
      <c r="A14" s="6" t="s">
        <v>250</v>
      </c>
      <c r="B14" s="7">
        <v>1220982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B57FA-CE0A-4970-9387-6CD8E6D2512F}">
  <dimension ref="A1:N201"/>
  <sheetViews>
    <sheetView workbookViewId="0">
      <selection activeCell="O5" sqref="O5"/>
    </sheetView>
  </sheetViews>
  <sheetFormatPr defaultRowHeight="15" x14ac:dyDescent="0.25"/>
  <cols>
    <col min="1" max="1" width="9" bestFit="1" customWidth="1"/>
    <col min="2" max="2" width="22" bestFit="1" customWidth="1"/>
    <col min="3" max="3" width="4.140625" bestFit="1" customWidth="1"/>
    <col min="4" max="4" width="7.28515625" bestFit="1" customWidth="1"/>
    <col min="5" max="5" width="11.7109375" bestFit="1" customWidth="1"/>
    <col min="6" max="6" width="14.5703125" bestFit="1" customWidth="1"/>
    <col min="7" max="7" width="14" bestFit="1" customWidth="1"/>
    <col min="8" max="8" width="10.85546875" bestFit="1" customWidth="1"/>
    <col min="9" max="9" width="13.85546875" bestFit="1" customWidth="1"/>
    <col min="10" max="10" width="14.42578125" bestFit="1" customWidth="1"/>
    <col min="11" max="11" width="18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242</v>
      </c>
      <c r="K1" s="3" t="s">
        <v>243</v>
      </c>
      <c r="L1" s="3" t="s">
        <v>244</v>
      </c>
      <c r="M1" s="3" t="s">
        <v>245</v>
      </c>
      <c r="N1" s="3" t="s">
        <v>248</v>
      </c>
    </row>
    <row r="2" spans="1:14" x14ac:dyDescent="0.25">
      <c r="A2" s="1">
        <v>1</v>
      </c>
      <c r="B2" s="1" t="s">
        <v>9</v>
      </c>
      <c r="C2" s="1">
        <v>68</v>
      </c>
      <c r="D2" s="1" t="s">
        <v>10</v>
      </c>
      <c r="E2" s="1">
        <v>2</v>
      </c>
      <c r="F2" s="2">
        <v>45738</v>
      </c>
      <c r="G2" s="2">
        <v>45751</v>
      </c>
      <c r="H2" s="1">
        <v>1</v>
      </c>
      <c r="I2" s="1">
        <v>4443</v>
      </c>
      <c r="J2" t="str">
        <f>VLOOKUP(E2,Dignosis!$A$1:$B$11,2,)</f>
        <v>Diabetes</v>
      </c>
      <c r="K2" t="str">
        <f>VLOOKUP(H2,patients!$A$1:$B$4,2,)</f>
        <v>Edward Montes</v>
      </c>
      <c r="L2">
        <f>_xlfn.DAYS(G2,F2)</f>
        <v>13</v>
      </c>
      <c r="N2" t="str">
        <f>IF(OR(C2&lt;65,H2&lt;1),"high risk","low risk")</f>
        <v>low risk</v>
      </c>
    </row>
    <row r="3" spans="1:14" x14ac:dyDescent="0.25">
      <c r="A3" s="1">
        <v>2</v>
      </c>
      <c r="B3" s="1" t="s">
        <v>11</v>
      </c>
      <c r="C3" s="1">
        <v>81</v>
      </c>
      <c r="D3" s="1" t="s">
        <v>10</v>
      </c>
      <c r="E3" s="1">
        <v>2</v>
      </c>
      <c r="F3" s="2">
        <v>45747</v>
      </c>
      <c r="G3" s="2">
        <v>45749</v>
      </c>
      <c r="H3" s="1">
        <v>2</v>
      </c>
      <c r="I3" s="1">
        <v>4265</v>
      </c>
      <c r="J3" t="str">
        <f>VLOOKUP(E3,Dignosis!$A$1:$B$11,2,)</f>
        <v>Diabetes</v>
      </c>
      <c r="K3" t="str">
        <f>VLOOKUP(H3,patients!$A$1:$B$4,2,)</f>
        <v>Jessica Zimmerman</v>
      </c>
      <c r="L3">
        <f t="shared" ref="L3:L66" si="0">_xlfn.DAYS(G3,F3)</f>
        <v>2</v>
      </c>
      <c r="N3" t="str">
        <f t="shared" ref="N3:N66" si="1">IF(OR(C3&lt;65,H3&lt;1),"high risk","low risk")</f>
        <v>low risk</v>
      </c>
    </row>
    <row r="4" spans="1:14" x14ac:dyDescent="0.25">
      <c r="A4" s="1">
        <v>3</v>
      </c>
      <c r="B4" s="1" t="s">
        <v>12</v>
      </c>
      <c r="C4" s="1">
        <v>58</v>
      </c>
      <c r="D4" s="1" t="s">
        <v>10</v>
      </c>
      <c r="E4" s="1">
        <v>6</v>
      </c>
      <c r="F4" s="2">
        <v>45665</v>
      </c>
      <c r="G4" s="2">
        <v>45729</v>
      </c>
      <c r="H4" s="1">
        <v>1</v>
      </c>
      <c r="I4" s="1">
        <v>4188</v>
      </c>
      <c r="J4" t="str">
        <f>VLOOKUP(E4,Dignosis!$A$1:$B$11,2,)</f>
        <v>COPD</v>
      </c>
      <c r="K4" t="str">
        <f>VLOOKUP(H4,patients!$A$1:$B$4,2,)</f>
        <v>Edward Montes</v>
      </c>
      <c r="L4">
        <f t="shared" si="0"/>
        <v>64</v>
      </c>
      <c r="M4" t="str">
        <f>IF(VLOOKUP(A4,labs!A4:E203,3,FALSE)&gt;120,"high",)</f>
        <v>high</v>
      </c>
      <c r="N4" t="str">
        <f t="shared" si="1"/>
        <v>high risk</v>
      </c>
    </row>
    <row r="5" spans="1:14" x14ac:dyDescent="0.25">
      <c r="A5" s="1">
        <v>4</v>
      </c>
      <c r="B5" s="1" t="s">
        <v>13</v>
      </c>
      <c r="C5" s="1">
        <v>44</v>
      </c>
      <c r="D5" s="1" t="s">
        <v>14</v>
      </c>
      <c r="E5" s="1">
        <v>3</v>
      </c>
      <c r="F5" s="2">
        <v>45750</v>
      </c>
      <c r="G5" s="2">
        <v>45752</v>
      </c>
      <c r="H5" s="1">
        <v>1</v>
      </c>
      <c r="I5" s="1">
        <v>9783</v>
      </c>
      <c r="J5" t="str">
        <f>VLOOKUP(E5,Dignosis!$A$1:$B$11,2,)</f>
        <v>Heart Disease</v>
      </c>
      <c r="K5" t="str">
        <f>VLOOKUP(H5,patients!$A$1:$B$4,2,)</f>
        <v>Edward Montes</v>
      </c>
      <c r="L5">
        <f t="shared" si="0"/>
        <v>2</v>
      </c>
      <c r="M5" t="str">
        <f>IF(VLOOKUP(A5,labs!A5:E204,3,FALSE)&gt;120,"high",)</f>
        <v>high</v>
      </c>
      <c r="N5" t="str">
        <f t="shared" si="1"/>
        <v>high risk</v>
      </c>
    </row>
    <row r="6" spans="1:14" x14ac:dyDescent="0.25">
      <c r="A6" s="1">
        <v>5</v>
      </c>
      <c r="B6" s="1" t="s">
        <v>15</v>
      </c>
      <c r="C6" s="1">
        <v>72</v>
      </c>
      <c r="D6" s="1" t="s">
        <v>14</v>
      </c>
      <c r="E6" s="1">
        <v>9</v>
      </c>
      <c r="F6" s="2">
        <v>45811</v>
      </c>
      <c r="G6" s="2">
        <v>45812</v>
      </c>
      <c r="H6" s="1">
        <v>1</v>
      </c>
      <c r="I6" s="1">
        <v>5005</v>
      </c>
      <c r="J6" t="str">
        <f>VLOOKUP(E6,Dignosis!$A$1:$B$11,2,)</f>
        <v>Kidney Disease</v>
      </c>
      <c r="K6" t="str">
        <f>VLOOKUP(H6,patients!$A$1:$B$4,2,)</f>
        <v>Edward Montes</v>
      </c>
      <c r="L6">
        <f t="shared" si="0"/>
        <v>1</v>
      </c>
      <c r="M6" t="str">
        <f>IF(VLOOKUP(A6,labs!A6:E205,3,FALSE)&gt;120,"high",)</f>
        <v>high</v>
      </c>
      <c r="N6" t="str">
        <f t="shared" si="1"/>
        <v>low risk</v>
      </c>
    </row>
    <row r="7" spans="1:14" x14ac:dyDescent="0.25">
      <c r="A7" s="1">
        <v>6</v>
      </c>
      <c r="B7" s="1" t="s">
        <v>16</v>
      </c>
      <c r="C7" s="1">
        <v>37</v>
      </c>
      <c r="D7" s="1" t="s">
        <v>14</v>
      </c>
      <c r="E7" s="1">
        <v>4</v>
      </c>
      <c r="F7" s="2">
        <v>45747</v>
      </c>
      <c r="G7" s="2">
        <v>45752</v>
      </c>
      <c r="H7" s="1">
        <v>1</v>
      </c>
      <c r="I7" s="1">
        <v>5281</v>
      </c>
      <c r="J7" t="str">
        <f>VLOOKUP(E7,Dignosis!$A$1:$B$11,2,)</f>
        <v>Asthma</v>
      </c>
      <c r="K7" t="str">
        <f>VLOOKUP(H7,patients!$A$1:$B$4,2,)</f>
        <v>Edward Montes</v>
      </c>
      <c r="L7">
        <f t="shared" si="0"/>
        <v>5</v>
      </c>
      <c r="M7" t="str">
        <f>IF(VLOOKUP(A7,labs!A7:E206,3,FALSE)&gt;120,"high",)</f>
        <v>high</v>
      </c>
      <c r="N7" t="str">
        <f t="shared" si="1"/>
        <v>high risk</v>
      </c>
    </row>
    <row r="8" spans="1:14" x14ac:dyDescent="0.25">
      <c r="A8" s="1">
        <v>7</v>
      </c>
      <c r="B8" s="1" t="s">
        <v>17</v>
      </c>
      <c r="C8" s="1">
        <v>50</v>
      </c>
      <c r="D8" s="1" t="s">
        <v>14</v>
      </c>
      <c r="E8" s="1">
        <v>1</v>
      </c>
      <c r="F8" s="2">
        <v>45819</v>
      </c>
      <c r="G8" s="2">
        <v>45843</v>
      </c>
      <c r="H8" s="1">
        <v>2</v>
      </c>
      <c r="I8" s="1">
        <v>2984</v>
      </c>
      <c r="J8" t="str">
        <f>VLOOKUP(E8,Dignosis!$A$1:$B$11,2,)</f>
        <v>Hypertension</v>
      </c>
      <c r="K8" t="str">
        <f>VLOOKUP(H8,patients!$A$1:$B$4,2,)</f>
        <v>Jessica Zimmerman</v>
      </c>
      <c r="L8">
        <f t="shared" si="0"/>
        <v>24</v>
      </c>
      <c r="M8" t="str">
        <f>IF(VLOOKUP(A8,labs!A8:E207,3,FALSE)&gt;120,"high",)</f>
        <v>high</v>
      </c>
      <c r="N8" t="str">
        <f t="shared" si="1"/>
        <v>high risk</v>
      </c>
    </row>
    <row r="9" spans="1:14" x14ac:dyDescent="0.25">
      <c r="A9" s="1">
        <v>8</v>
      </c>
      <c r="B9" s="1" t="s">
        <v>18</v>
      </c>
      <c r="C9" s="1">
        <v>68</v>
      </c>
      <c r="D9" s="1" t="s">
        <v>10</v>
      </c>
      <c r="E9" s="1">
        <v>4</v>
      </c>
      <c r="F9" s="2">
        <v>45772</v>
      </c>
      <c r="G9" s="2">
        <v>45827</v>
      </c>
      <c r="H9" s="1">
        <v>1</v>
      </c>
      <c r="I9" s="1">
        <v>9136</v>
      </c>
      <c r="J9" t="str">
        <f>VLOOKUP(E9,Dignosis!$A$1:$B$11,2,)</f>
        <v>Asthma</v>
      </c>
      <c r="K9" t="str">
        <f>VLOOKUP(H9,patients!$A$1:$B$4,2,)</f>
        <v>Edward Montes</v>
      </c>
      <c r="L9">
        <f t="shared" si="0"/>
        <v>55</v>
      </c>
      <c r="M9" t="str">
        <f>IF(VLOOKUP(A9,labs!A9:E208,3,FALSE)&gt;120,"high",)</f>
        <v>high</v>
      </c>
      <c r="N9" t="str">
        <f t="shared" si="1"/>
        <v>low risk</v>
      </c>
    </row>
    <row r="10" spans="1:14" x14ac:dyDescent="0.25">
      <c r="A10" s="1">
        <v>9</v>
      </c>
      <c r="B10" s="1" t="s">
        <v>19</v>
      </c>
      <c r="C10" s="1">
        <v>87</v>
      </c>
      <c r="D10" s="1" t="s">
        <v>14</v>
      </c>
      <c r="E10" s="1">
        <v>1</v>
      </c>
      <c r="F10" s="2">
        <v>45762</v>
      </c>
      <c r="G10" s="2">
        <v>45764</v>
      </c>
      <c r="H10" s="1">
        <v>2</v>
      </c>
      <c r="I10" s="1">
        <v>9790</v>
      </c>
      <c r="J10" t="str">
        <f>VLOOKUP(E10,Dignosis!$A$1:$B$11,2,)</f>
        <v>Hypertension</v>
      </c>
      <c r="K10" t="str">
        <f>VLOOKUP(H10,patients!$A$1:$B$4,2,)</f>
        <v>Jessica Zimmerman</v>
      </c>
      <c r="L10">
        <f t="shared" si="0"/>
        <v>2</v>
      </c>
      <c r="M10" t="str">
        <f>IF(VLOOKUP(A10,labs!A10:E209,3,FALSE)&gt;120,"high",)</f>
        <v>high</v>
      </c>
      <c r="N10" t="str">
        <f t="shared" si="1"/>
        <v>low risk</v>
      </c>
    </row>
    <row r="11" spans="1:14" x14ac:dyDescent="0.25">
      <c r="A11" s="1">
        <v>10</v>
      </c>
      <c r="B11" s="1" t="s">
        <v>20</v>
      </c>
      <c r="C11" s="1">
        <v>48</v>
      </c>
      <c r="D11" s="1" t="s">
        <v>10</v>
      </c>
      <c r="E11" s="1">
        <v>5</v>
      </c>
      <c r="F11" s="2">
        <v>45792</v>
      </c>
      <c r="G11" s="2">
        <v>45796</v>
      </c>
      <c r="H11" s="1">
        <v>2</v>
      </c>
      <c r="I11" s="1">
        <v>3639</v>
      </c>
      <c r="J11" t="str">
        <f>VLOOKUP(E11,Dignosis!$A$1:$B$11,2,)</f>
        <v>Stroke</v>
      </c>
      <c r="K11" t="str">
        <f>VLOOKUP(H11,patients!$A$1:$B$4,2,)</f>
        <v>Jessica Zimmerman</v>
      </c>
      <c r="L11">
        <f t="shared" si="0"/>
        <v>4</v>
      </c>
      <c r="M11" t="str">
        <f>IF(VLOOKUP(A11,labs!A11:E210,3,FALSE)&gt;120,"high",)</f>
        <v>high</v>
      </c>
      <c r="N11" t="str">
        <f t="shared" si="1"/>
        <v>high risk</v>
      </c>
    </row>
    <row r="12" spans="1:14" x14ac:dyDescent="0.25">
      <c r="A12" s="1">
        <v>11</v>
      </c>
      <c r="B12" s="1" t="s">
        <v>21</v>
      </c>
      <c r="C12" s="1">
        <v>52</v>
      </c>
      <c r="D12" s="1" t="s">
        <v>10</v>
      </c>
      <c r="E12" s="1">
        <v>4</v>
      </c>
      <c r="F12" s="2">
        <v>45715</v>
      </c>
      <c r="G12" s="2">
        <v>45765</v>
      </c>
      <c r="H12" s="1">
        <v>3</v>
      </c>
      <c r="I12" s="1">
        <v>2827</v>
      </c>
      <c r="J12" t="str">
        <f>VLOOKUP(E12,Dignosis!$A$1:$B$11,2,)</f>
        <v>Asthma</v>
      </c>
      <c r="K12" t="str">
        <f>VLOOKUP(H12,patients!$A$1:$B$4,2,)</f>
        <v>Gina Alexander</v>
      </c>
      <c r="L12">
        <f t="shared" si="0"/>
        <v>50</v>
      </c>
      <c r="M12" t="str">
        <f>IF(VLOOKUP(A12,labs!A12:E211,3,FALSE)&gt;120,"high",)</f>
        <v>high</v>
      </c>
      <c r="N12" t="str">
        <f t="shared" si="1"/>
        <v>high risk</v>
      </c>
    </row>
    <row r="13" spans="1:14" x14ac:dyDescent="0.25">
      <c r="A13" s="1">
        <v>12</v>
      </c>
      <c r="B13" s="1" t="s">
        <v>22</v>
      </c>
      <c r="C13" s="1">
        <v>40</v>
      </c>
      <c r="D13" s="1" t="s">
        <v>14</v>
      </c>
      <c r="E13" s="1">
        <v>8</v>
      </c>
      <c r="F13" s="2">
        <v>45771</v>
      </c>
      <c r="G13" s="2">
        <v>45795</v>
      </c>
      <c r="H13" s="1">
        <v>2</v>
      </c>
      <c r="I13" s="1">
        <v>4730</v>
      </c>
      <c r="J13" t="str">
        <f>VLOOKUP(E13,Dignosis!$A$1:$B$11,2,)</f>
        <v>Arthritis</v>
      </c>
      <c r="K13" t="str">
        <f>VLOOKUP(H13,patients!$A$1:$B$4,2,)</f>
        <v>Jessica Zimmerman</v>
      </c>
      <c r="L13">
        <f t="shared" si="0"/>
        <v>24</v>
      </c>
      <c r="M13" t="str">
        <f>IF(VLOOKUP(A13,labs!A13:E212,3,FALSE)&gt;120,"high",)</f>
        <v>high</v>
      </c>
      <c r="N13" t="str">
        <f t="shared" si="1"/>
        <v>high risk</v>
      </c>
    </row>
    <row r="14" spans="1:14" x14ac:dyDescent="0.25">
      <c r="A14" s="1">
        <v>13</v>
      </c>
      <c r="B14" s="1" t="s">
        <v>23</v>
      </c>
      <c r="C14" s="1">
        <v>40</v>
      </c>
      <c r="D14" s="1" t="s">
        <v>14</v>
      </c>
      <c r="E14" s="1">
        <v>8</v>
      </c>
      <c r="F14" s="2">
        <v>45732</v>
      </c>
      <c r="G14" s="2">
        <v>45815</v>
      </c>
      <c r="H14" s="1">
        <v>3</v>
      </c>
      <c r="I14" s="1">
        <v>5531</v>
      </c>
      <c r="J14" t="str">
        <f>VLOOKUP(E14,Dignosis!$A$1:$B$11,2,)</f>
        <v>Arthritis</v>
      </c>
      <c r="K14" t="str">
        <f>VLOOKUP(H14,patients!$A$1:$B$4,2,)</f>
        <v>Gina Alexander</v>
      </c>
      <c r="L14">
        <f t="shared" si="0"/>
        <v>83</v>
      </c>
      <c r="M14" t="str">
        <f>IF(VLOOKUP(A14,labs!A14:E213,3,FALSE)&gt;120,"high",)</f>
        <v>high</v>
      </c>
      <c r="N14" t="str">
        <f t="shared" si="1"/>
        <v>high risk</v>
      </c>
    </row>
    <row r="15" spans="1:14" x14ac:dyDescent="0.25">
      <c r="A15" s="1">
        <v>14</v>
      </c>
      <c r="B15" s="1" t="s">
        <v>24</v>
      </c>
      <c r="C15" s="1">
        <v>53</v>
      </c>
      <c r="D15" s="1" t="s">
        <v>14</v>
      </c>
      <c r="E15" s="1">
        <v>7</v>
      </c>
      <c r="F15" s="2">
        <v>45814</v>
      </c>
      <c r="G15" s="2">
        <v>45818</v>
      </c>
      <c r="H15" s="1">
        <v>2</v>
      </c>
      <c r="I15" s="1">
        <v>9147</v>
      </c>
      <c r="J15" t="str">
        <f>VLOOKUP(E15,Dignosis!$A$1:$B$11,2,)</f>
        <v>Cancer</v>
      </c>
      <c r="K15" t="str">
        <f>VLOOKUP(H15,patients!$A$1:$B$4,2,)</f>
        <v>Jessica Zimmerman</v>
      </c>
      <c r="L15">
        <f t="shared" si="0"/>
        <v>4</v>
      </c>
      <c r="M15" t="str">
        <f>IF(VLOOKUP(A15,labs!A15:E214,3,FALSE)&gt;120,"high",)</f>
        <v>high</v>
      </c>
      <c r="N15" t="str">
        <f t="shared" si="1"/>
        <v>high risk</v>
      </c>
    </row>
    <row r="16" spans="1:14" x14ac:dyDescent="0.25">
      <c r="A16" s="1">
        <v>15</v>
      </c>
      <c r="B16" s="1" t="s">
        <v>25</v>
      </c>
      <c r="C16" s="1">
        <v>82</v>
      </c>
      <c r="D16" s="1" t="s">
        <v>14</v>
      </c>
      <c r="E16" s="1">
        <v>3</v>
      </c>
      <c r="F16" s="2">
        <v>45777</v>
      </c>
      <c r="G16" s="2">
        <v>45780</v>
      </c>
      <c r="H16" s="1">
        <v>2</v>
      </c>
      <c r="I16" s="1">
        <v>6451</v>
      </c>
      <c r="J16" t="str">
        <f>VLOOKUP(E16,Dignosis!$A$1:$B$11,2,)</f>
        <v>Heart Disease</v>
      </c>
      <c r="K16" t="str">
        <f>VLOOKUP(H16,patients!$A$1:$B$4,2,)</f>
        <v>Jessica Zimmerman</v>
      </c>
      <c r="L16">
        <f t="shared" si="0"/>
        <v>3</v>
      </c>
      <c r="M16" t="str">
        <f>IF(VLOOKUP(A16,labs!A16:E215,3,FALSE)&gt;120,"high",)</f>
        <v>high</v>
      </c>
      <c r="N16" t="str">
        <f t="shared" si="1"/>
        <v>low risk</v>
      </c>
    </row>
    <row r="17" spans="1:14" x14ac:dyDescent="0.25">
      <c r="A17" s="1">
        <v>16</v>
      </c>
      <c r="B17" s="1" t="s">
        <v>26</v>
      </c>
      <c r="C17" s="1">
        <v>65</v>
      </c>
      <c r="D17" s="1" t="s">
        <v>14</v>
      </c>
      <c r="E17" s="1">
        <v>1</v>
      </c>
      <c r="F17" s="2">
        <v>45821</v>
      </c>
      <c r="G17" s="2">
        <v>45823</v>
      </c>
      <c r="H17" s="1">
        <v>2</v>
      </c>
      <c r="I17" s="1">
        <v>9151</v>
      </c>
      <c r="J17" t="str">
        <f>VLOOKUP(E17,Dignosis!$A$1:$B$11,2,)</f>
        <v>Hypertension</v>
      </c>
      <c r="K17" t="str">
        <f>VLOOKUP(H17,patients!$A$1:$B$4,2,)</f>
        <v>Jessica Zimmerman</v>
      </c>
      <c r="L17">
        <f t="shared" si="0"/>
        <v>2</v>
      </c>
      <c r="M17" t="str">
        <f>IF(VLOOKUP(A17,labs!A17:E216,3,FALSE)&gt;120,"high",)</f>
        <v>high</v>
      </c>
      <c r="N17" t="str">
        <f t="shared" si="1"/>
        <v>low risk</v>
      </c>
    </row>
    <row r="18" spans="1:14" x14ac:dyDescent="0.25">
      <c r="A18" s="1">
        <v>17</v>
      </c>
      <c r="B18" s="1" t="s">
        <v>27</v>
      </c>
      <c r="C18" s="1">
        <v>69</v>
      </c>
      <c r="D18" s="1" t="s">
        <v>14</v>
      </c>
      <c r="E18" s="1">
        <v>1</v>
      </c>
      <c r="F18" s="2">
        <v>45678</v>
      </c>
      <c r="G18" s="2">
        <v>45799</v>
      </c>
      <c r="H18" s="1">
        <v>3</v>
      </c>
      <c r="I18" s="1">
        <v>7443</v>
      </c>
      <c r="J18" t="str">
        <f>VLOOKUP(E18,Dignosis!$A$1:$B$11,2,)</f>
        <v>Hypertension</v>
      </c>
      <c r="K18" t="str">
        <f>VLOOKUP(H18,patients!$A$1:$B$4,2,)</f>
        <v>Gina Alexander</v>
      </c>
      <c r="L18">
        <f t="shared" si="0"/>
        <v>121</v>
      </c>
      <c r="M18" t="str">
        <f>IF(VLOOKUP(A18,labs!A18:E217,3,FALSE)&gt;120,"high",)</f>
        <v>high</v>
      </c>
      <c r="N18" t="str">
        <f t="shared" si="1"/>
        <v>low risk</v>
      </c>
    </row>
    <row r="19" spans="1:14" x14ac:dyDescent="0.25">
      <c r="A19" s="1">
        <v>18</v>
      </c>
      <c r="B19" s="1" t="s">
        <v>28</v>
      </c>
      <c r="C19" s="1">
        <v>53</v>
      </c>
      <c r="D19" s="1" t="s">
        <v>14</v>
      </c>
      <c r="E19" s="1">
        <v>3</v>
      </c>
      <c r="F19" s="2">
        <v>45821</v>
      </c>
      <c r="G19" s="2">
        <v>45830</v>
      </c>
      <c r="H19" s="1">
        <v>3</v>
      </c>
      <c r="I19" s="1">
        <v>9300</v>
      </c>
      <c r="J19" t="str">
        <f>VLOOKUP(E19,Dignosis!$A$1:$B$11,2,)</f>
        <v>Heart Disease</v>
      </c>
      <c r="K19" t="str">
        <f>VLOOKUP(H19,patients!$A$1:$B$4,2,)</f>
        <v>Gina Alexander</v>
      </c>
      <c r="L19">
        <f t="shared" si="0"/>
        <v>9</v>
      </c>
      <c r="M19" t="str">
        <f>IF(VLOOKUP(A19,labs!A19:E218,3,FALSE)&gt;120,"high",)</f>
        <v>high</v>
      </c>
      <c r="N19" t="str">
        <f t="shared" si="1"/>
        <v>high risk</v>
      </c>
    </row>
    <row r="20" spans="1:14" x14ac:dyDescent="0.25">
      <c r="A20" s="1">
        <v>19</v>
      </c>
      <c r="B20" s="1" t="s">
        <v>29</v>
      </c>
      <c r="C20" s="1">
        <v>32</v>
      </c>
      <c r="D20" s="1" t="s">
        <v>14</v>
      </c>
      <c r="E20" s="1">
        <v>6</v>
      </c>
      <c r="F20" s="2">
        <v>45795</v>
      </c>
      <c r="G20" s="2">
        <v>45797</v>
      </c>
      <c r="H20" s="1">
        <v>1</v>
      </c>
      <c r="I20" s="1">
        <v>4935</v>
      </c>
      <c r="J20" t="str">
        <f>VLOOKUP(E20,Dignosis!$A$1:$B$11,2,)</f>
        <v>COPD</v>
      </c>
      <c r="K20" t="str">
        <f>VLOOKUP(H20,patients!$A$1:$B$4,2,)</f>
        <v>Edward Montes</v>
      </c>
      <c r="L20">
        <f t="shared" si="0"/>
        <v>2</v>
      </c>
      <c r="M20" t="str">
        <f>IF(VLOOKUP(A20,labs!A20:E219,3,FALSE)&gt;120,"high",)</f>
        <v>high</v>
      </c>
      <c r="N20" t="str">
        <f t="shared" si="1"/>
        <v>high risk</v>
      </c>
    </row>
    <row r="21" spans="1:14" x14ac:dyDescent="0.25">
      <c r="A21" s="1">
        <v>20</v>
      </c>
      <c r="B21" s="1" t="s">
        <v>30</v>
      </c>
      <c r="C21" s="1">
        <v>51</v>
      </c>
      <c r="D21" s="1" t="s">
        <v>10</v>
      </c>
      <c r="E21" s="1">
        <v>7</v>
      </c>
      <c r="F21" s="2">
        <v>45758</v>
      </c>
      <c r="G21" s="2">
        <v>45847</v>
      </c>
      <c r="H21" s="1">
        <v>3</v>
      </c>
      <c r="I21" s="1">
        <v>5876</v>
      </c>
      <c r="J21" t="str">
        <f>VLOOKUP(E21,Dignosis!$A$1:$B$11,2,)</f>
        <v>Cancer</v>
      </c>
      <c r="K21" t="str">
        <f>VLOOKUP(H21,patients!$A$1:$B$4,2,)</f>
        <v>Gina Alexander</v>
      </c>
      <c r="L21">
        <f t="shared" si="0"/>
        <v>89</v>
      </c>
      <c r="M21" t="str">
        <f>IF(VLOOKUP(A21,labs!A21:E220,3,FALSE)&gt;120,"high",)</f>
        <v>high</v>
      </c>
      <c r="N21" t="str">
        <f t="shared" si="1"/>
        <v>high risk</v>
      </c>
    </row>
    <row r="22" spans="1:14" x14ac:dyDescent="0.25">
      <c r="A22" s="1">
        <v>21</v>
      </c>
      <c r="B22" s="1" t="s">
        <v>31</v>
      </c>
      <c r="C22" s="1">
        <v>82</v>
      </c>
      <c r="D22" s="1" t="s">
        <v>14</v>
      </c>
      <c r="E22" s="1">
        <v>6</v>
      </c>
      <c r="F22" s="2">
        <v>45809</v>
      </c>
      <c r="G22" s="2">
        <v>45819</v>
      </c>
      <c r="H22" s="1">
        <v>3</v>
      </c>
      <c r="I22" s="1">
        <v>7959</v>
      </c>
      <c r="J22" t="str">
        <f>VLOOKUP(E22,Dignosis!$A$1:$B$11,2,)</f>
        <v>COPD</v>
      </c>
      <c r="K22" t="str">
        <f>VLOOKUP(H22,patients!$A$1:$B$4,2,)</f>
        <v>Gina Alexander</v>
      </c>
      <c r="L22">
        <f t="shared" si="0"/>
        <v>10</v>
      </c>
      <c r="M22" t="str">
        <f>IF(VLOOKUP(A22,labs!A22:E221,3,FALSE)&gt;120,"high",)</f>
        <v>high</v>
      </c>
      <c r="N22" t="str">
        <f t="shared" si="1"/>
        <v>low risk</v>
      </c>
    </row>
    <row r="23" spans="1:14" x14ac:dyDescent="0.25">
      <c r="A23" s="1">
        <v>22</v>
      </c>
      <c r="B23" s="1" t="s">
        <v>32</v>
      </c>
      <c r="C23" s="1">
        <v>31</v>
      </c>
      <c r="D23" s="1" t="s">
        <v>14</v>
      </c>
      <c r="E23" s="1">
        <v>6</v>
      </c>
      <c r="F23" s="2">
        <v>45834</v>
      </c>
      <c r="G23" s="2">
        <v>45841</v>
      </c>
      <c r="H23" s="1">
        <v>3</v>
      </c>
      <c r="I23" s="1">
        <v>2126</v>
      </c>
      <c r="J23" t="str">
        <f>VLOOKUP(E23,Dignosis!$A$1:$B$11,2,)</f>
        <v>COPD</v>
      </c>
      <c r="K23" t="str">
        <f>VLOOKUP(H23,patients!$A$1:$B$4,2,)</f>
        <v>Gina Alexander</v>
      </c>
      <c r="L23">
        <f t="shared" si="0"/>
        <v>7</v>
      </c>
      <c r="M23" t="str">
        <f>IF(VLOOKUP(A23,labs!A23:E222,3,FALSE)&gt;120,"high",)</f>
        <v>high</v>
      </c>
      <c r="N23" t="str">
        <f t="shared" si="1"/>
        <v>high risk</v>
      </c>
    </row>
    <row r="24" spans="1:14" x14ac:dyDescent="0.25">
      <c r="A24" s="1">
        <v>23</v>
      </c>
      <c r="B24" s="1" t="s">
        <v>33</v>
      </c>
      <c r="C24" s="1">
        <v>53</v>
      </c>
      <c r="D24" s="1" t="s">
        <v>10</v>
      </c>
      <c r="E24" s="1">
        <v>6</v>
      </c>
      <c r="F24" s="2">
        <v>45756</v>
      </c>
      <c r="G24" s="2">
        <v>45831</v>
      </c>
      <c r="H24" s="1">
        <v>3</v>
      </c>
      <c r="I24" s="1">
        <v>5177</v>
      </c>
      <c r="J24" t="str">
        <f>VLOOKUP(E24,Dignosis!$A$1:$B$11,2,)</f>
        <v>COPD</v>
      </c>
      <c r="K24" t="str">
        <f>VLOOKUP(H24,patients!$A$1:$B$4,2,)</f>
        <v>Gina Alexander</v>
      </c>
      <c r="L24">
        <f t="shared" si="0"/>
        <v>75</v>
      </c>
      <c r="M24" t="str">
        <f>IF(VLOOKUP(A24,labs!A24:E223,3,FALSE)&gt;120,"high",)</f>
        <v>high</v>
      </c>
      <c r="N24" t="str">
        <f t="shared" si="1"/>
        <v>high risk</v>
      </c>
    </row>
    <row r="25" spans="1:14" x14ac:dyDescent="0.25">
      <c r="A25" s="1">
        <v>24</v>
      </c>
      <c r="B25" s="1" t="s">
        <v>34</v>
      </c>
      <c r="C25" s="1">
        <v>73</v>
      </c>
      <c r="D25" s="1" t="s">
        <v>14</v>
      </c>
      <c r="E25" s="1">
        <v>3</v>
      </c>
      <c r="F25" s="2">
        <v>45693</v>
      </c>
      <c r="G25" s="2">
        <v>45749</v>
      </c>
      <c r="H25" s="1">
        <v>1</v>
      </c>
      <c r="I25" s="1">
        <v>5056</v>
      </c>
      <c r="J25" t="str">
        <f>VLOOKUP(E25,Dignosis!$A$1:$B$11,2,)</f>
        <v>Heart Disease</v>
      </c>
      <c r="K25" t="str">
        <f>VLOOKUP(H25,patients!$A$1:$B$4,2,)</f>
        <v>Edward Montes</v>
      </c>
      <c r="L25">
        <f t="shared" si="0"/>
        <v>56</v>
      </c>
      <c r="M25" t="str">
        <f>IF(VLOOKUP(A25,labs!A25:E224,3,FALSE)&gt;120,"high",)</f>
        <v>high</v>
      </c>
      <c r="N25" t="str">
        <f t="shared" si="1"/>
        <v>low risk</v>
      </c>
    </row>
    <row r="26" spans="1:14" x14ac:dyDescent="0.25">
      <c r="A26" s="1">
        <v>25</v>
      </c>
      <c r="B26" s="1" t="s">
        <v>35</v>
      </c>
      <c r="C26" s="1">
        <v>59</v>
      </c>
      <c r="D26" s="1" t="s">
        <v>10</v>
      </c>
      <c r="E26" s="1">
        <v>6</v>
      </c>
      <c r="F26" s="2">
        <v>45753</v>
      </c>
      <c r="G26" s="2">
        <v>45811</v>
      </c>
      <c r="H26" s="1">
        <v>3</v>
      </c>
      <c r="I26" s="1">
        <v>2603</v>
      </c>
      <c r="J26" t="str">
        <f>VLOOKUP(E26,Dignosis!$A$1:$B$11,2,)</f>
        <v>COPD</v>
      </c>
      <c r="K26" t="str">
        <f>VLOOKUP(H26,patients!$A$1:$B$4,2,)</f>
        <v>Gina Alexander</v>
      </c>
      <c r="L26">
        <f t="shared" si="0"/>
        <v>58</v>
      </c>
      <c r="M26" t="str">
        <f>IF(VLOOKUP(A26,labs!A26:E225,3,FALSE)&gt;120,"high",)</f>
        <v>high</v>
      </c>
      <c r="N26" t="str">
        <f t="shared" si="1"/>
        <v>high risk</v>
      </c>
    </row>
    <row r="27" spans="1:14" x14ac:dyDescent="0.25">
      <c r="A27" s="1">
        <v>26</v>
      </c>
      <c r="B27" s="1" t="s">
        <v>36</v>
      </c>
      <c r="C27" s="1">
        <v>67</v>
      </c>
      <c r="D27" s="1" t="s">
        <v>10</v>
      </c>
      <c r="E27" s="1">
        <v>8</v>
      </c>
      <c r="F27" s="2">
        <v>45809</v>
      </c>
      <c r="G27" s="2">
        <v>45810</v>
      </c>
      <c r="H27" s="1">
        <v>2</v>
      </c>
      <c r="I27" s="1">
        <v>9966</v>
      </c>
      <c r="J27" t="str">
        <f>VLOOKUP(E27,Dignosis!$A$1:$B$11,2,)</f>
        <v>Arthritis</v>
      </c>
      <c r="K27" t="str">
        <f>VLOOKUP(H27,patients!$A$1:$B$4,2,)</f>
        <v>Jessica Zimmerman</v>
      </c>
      <c r="L27">
        <f t="shared" si="0"/>
        <v>1</v>
      </c>
      <c r="M27" t="str">
        <f>IF(VLOOKUP(A27,labs!A27:E226,3,FALSE)&gt;120,"high",)</f>
        <v>high</v>
      </c>
      <c r="N27" t="str">
        <f t="shared" si="1"/>
        <v>low risk</v>
      </c>
    </row>
    <row r="28" spans="1:14" x14ac:dyDescent="0.25">
      <c r="A28" s="1">
        <v>27</v>
      </c>
      <c r="B28" s="1" t="s">
        <v>37</v>
      </c>
      <c r="C28" s="1">
        <v>31</v>
      </c>
      <c r="D28" s="1" t="s">
        <v>14</v>
      </c>
      <c r="E28" s="1">
        <v>2</v>
      </c>
      <c r="F28" s="2">
        <v>45808</v>
      </c>
      <c r="G28" s="2">
        <v>45809</v>
      </c>
      <c r="H28" s="1">
        <v>2</v>
      </c>
      <c r="I28" s="1">
        <v>5449</v>
      </c>
      <c r="J28" t="str">
        <f>VLOOKUP(E28,Dignosis!$A$1:$B$11,2,)</f>
        <v>Diabetes</v>
      </c>
      <c r="K28" t="str">
        <f>VLOOKUP(H28,patients!$A$1:$B$4,2,)</f>
        <v>Jessica Zimmerman</v>
      </c>
      <c r="L28">
        <f t="shared" si="0"/>
        <v>1</v>
      </c>
      <c r="M28" t="str">
        <f>IF(VLOOKUP(A28,labs!A28:E227,3,FALSE)&gt;120,"high",)</f>
        <v>high</v>
      </c>
      <c r="N28" t="str">
        <f t="shared" si="1"/>
        <v>high risk</v>
      </c>
    </row>
    <row r="29" spans="1:14" x14ac:dyDescent="0.25">
      <c r="A29" s="1">
        <v>28</v>
      </c>
      <c r="B29" s="1" t="s">
        <v>38</v>
      </c>
      <c r="C29" s="1">
        <v>89</v>
      </c>
      <c r="D29" s="1" t="s">
        <v>10</v>
      </c>
      <c r="E29" s="1">
        <v>5</v>
      </c>
      <c r="F29" s="2">
        <v>45694</v>
      </c>
      <c r="G29" s="2">
        <v>45776</v>
      </c>
      <c r="H29" s="1">
        <v>3</v>
      </c>
      <c r="I29" s="1">
        <v>8024</v>
      </c>
      <c r="J29" t="str">
        <f>VLOOKUP(E29,Dignosis!$A$1:$B$11,2,)</f>
        <v>Stroke</v>
      </c>
      <c r="K29" t="str">
        <f>VLOOKUP(H29,patients!$A$1:$B$4,2,)</f>
        <v>Gina Alexander</v>
      </c>
      <c r="L29">
        <f t="shared" si="0"/>
        <v>82</v>
      </c>
      <c r="M29" t="str">
        <f>IF(VLOOKUP(A29,labs!A29:E228,3,FALSE)&gt;120,"high",)</f>
        <v>high</v>
      </c>
      <c r="N29" t="str">
        <f t="shared" si="1"/>
        <v>low risk</v>
      </c>
    </row>
    <row r="30" spans="1:14" x14ac:dyDescent="0.25">
      <c r="A30" s="1">
        <v>29</v>
      </c>
      <c r="B30" s="1" t="s">
        <v>39</v>
      </c>
      <c r="C30" s="1">
        <v>50</v>
      </c>
      <c r="D30" s="1" t="s">
        <v>10</v>
      </c>
      <c r="E30" s="1">
        <v>1</v>
      </c>
      <c r="F30" s="2">
        <v>45669</v>
      </c>
      <c r="G30" s="2">
        <v>45671</v>
      </c>
      <c r="H30" s="1">
        <v>3</v>
      </c>
      <c r="I30" s="1">
        <v>7109</v>
      </c>
      <c r="J30" t="str">
        <f>VLOOKUP(E30,Dignosis!$A$1:$B$11,2,)</f>
        <v>Hypertension</v>
      </c>
      <c r="K30" t="str">
        <f>VLOOKUP(H30,patients!$A$1:$B$4,2,)</f>
        <v>Gina Alexander</v>
      </c>
      <c r="L30">
        <f t="shared" si="0"/>
        <v>2</v>
      </c>
      <c r="M30" t="str">
        <f>IF(VLOOKUP(A30,labs!A30:E229,3,FALSE)&gt;120,"high",)</f>
        <v>high</v>
      </c>
      <c r="N30" t="str">
        <f t="shared" si="1"/>
        <v>high risk</v>
      </c>
    </row>
    <row r="31" spans="1:14" x14ac:dyDescent="0.25">
      <c r="A31" s="1">
        <v>30</v>
      </c>
      <c r="B31" s="1" t="s">
        <v>40</v>
      </c>
      <c r="C31" s="1">
        <v>62</v>
      </c>
      <c r="D31" s="1" t="s">
        <v>10</v>
      </c>
      <c r="E31" s="1">
        <v>1</v>
      </c>
      <c r="F31" s="2">
        <v>45770</v>
      </c>
      <c r="G31" s="2">
        <v>45774</v>
      </c>
      <c r="H31" s="1">
        <v>2</v>
      </c>
      <c r="I31" s="1">
        <v>6146</v>
      </c>
      <c r="J31" t="str">
        <f>VLOOKUP(E31,Dignosis!$A$1:$B$11,2,)</f>
        <v>Hypertension</v>
      </c>
      <c r="K31" t="str">
        <f>VLOOKUP(H31,patients!$A$1:$B$4,2,)</f>
        <v>Jessica Zimmerman</v>
      </c>
      <c r="L31">
        <f t="shared" si="0"/>
        <v>4</v>
      </c>
      <c r="M31" t="str">
        <f>IF(VLOOKUP(A31,labs!A31:E230,3,FALSE)&gt;120,"high",)</f>
        <v>high</v>
      </c>
      <c r="N31" t="str">
        <f t="shared" si="1"/>
        <v>high risk</v>
      </c>
    </row>
    <row r="32" spans="1:14" x14ac:dyDescent="0.25">
      <c r="A32" s="1">
        <v>31</v>
      </c>
      <c r="B32" s="1" t="s">
        <v>41</v>
      </c>
      <c r="C32" s="1">
        <v>41</v>
      </c>
      <c r="D32" s="1" t="s">
        <v>10</v>
      </c>
      <c r="E32" s="1">
        <v>5</v>
      </c>
      <c r="F32" s="2">
        <v>45670</v>
      </c>
      <c r="G32" s="2">
        <v>45839</v>
      </c>
      <c r="H32" s="1">
        <v>2</v>
      </c>
      <c r="I32" s="1">
        <v>9196</v>
      </c>
      <c r="J32" t="str">
        <f>VLOOKUP(E32,Dignosis!$A$1:$B$11,2,)</f>
        <v>Stroke</v>
      </c>
      <c r="K32" t="str">
        <f>VLOOKUP(H32,patients!$A$1:$B$4,2,)</f>
        <v>Jessica Zimmerman</v>
      </c>
      <c r="L32">
        <f t="shared" si="0"/>
        <v>169</v>
      </c>
      <c r="M32" t="str">
        <f>IF(VLOOKUP(A32,labs!A32:E231,3,FALSE)&gt;120,"high",)</f>
        <v>high</v>
      </c>
      <c r="N32" t="str">
        <f t="shared" si="1"/>
        <v>high risk</v>
      </c>
    </row>
    <row r="33" spans="1:14" x14ac:dyDescent="0.25">
      <c r="A33" s="1">
        <v>32</v>
      </c>
      <c r="B33" s="1" t="s">
        <v>42</v>
      </c>
      <c r="C33" s="1">
        <v>87</v>
      </c>
      <c r="D33" s="1" t="s">
        <v>14</v>
      </c>
      <c r="E33" s="1">
        <v>3</v>
      </c>
      <c r="F33" s="2">
        <v>45680</v>
      </c>
      <c r="G33" s="2">
        <v>45684</v>
      </c>
      <c r="H33" s="1">
        <v>1</v>
      </c>
      <c r="I33" s="1">
        <v>5533</v>
      </c>
      <c r="J33" t="str">
        <f>VLOOKUP(E33,Dignosis!$A$1:$B$11,2,)</f>
        <v>Heart Disease</v>
      </c>
      <c r="K33" t="str">
        <f>VLOOKUP(H33,patients!$A$1:$B$4,2,)</f>
        <v>Edward Montes</v>
      </c>
      <c r="L33">
        <f t="shared" si="0"/>
        <v>4</v>
      </c>
      <c r="M33" t="str">
        <f>IF(VLOOKUP(A33,labs!A33:E232,3,FALSE)&gt;120,"high",)</f>
        <v>high</v>
      </c>
      <c r="N33" t="str">
        <f t="shared" si="1"/>
        <v>low risk</v>
      </c>
    </row>
    <row r="34" spans="1:14" x14ac:dyDescent="0.25">
      <c r="A34" s="1">
        <v>33</v>
      </c>
      <c r="B34" s="1" t="s">
        <v>43</v>
      </c>
      <c r="C34" s="1">
        <v>51</v>
      </c>
      <c r="D34" s="1" t="s">
        <v>10</v>
      </c>
      <c r="E34" s="1">
        <v>4</v>
      </c>
      <c r="F34" s="2">
        <v>45756</v>
      </c>
      <c r="G34" s="2">
        <v>45779</v>
      </c>
      <c r="H34" s="1">
        <v>2</v>
      </c>
      <c r="I34" s="1">
        <v>5367</v>
      </c>
      <c r="J34" t="str">
        <f>VLOOKUP(E34,Dignosis!$A$1:$B$11,2,)</f>
        <v>Asthma</v>
      </c>
      <c r="K34" t="str">
        <f>VLOOKUP(H34,patients!$A$1:$B$4,2,)</f>
        <v>Jessica Zimmerman</v>
      </c>
      <c r="L34">
        <f t="shared" si="0"/>
        <v>23</v>
      </c>
      <c r="M34" t="str">
        <f>IF(VLOOKUP(A34,labs!A34:E233,3,FALSE)&gt;120,"high",)</f>
        <v>high</v>
      </c>
      <c r="N34" t="str">
        <f t="shared" si="1"/>
        <v>high risk</v>
      </c>
    </row>
    <row r="35" spans="1:14" x14ac:dyDescent="0.25">
      <c r="A35" s="1">
        <v>34</v>
      </c>
      <c r="B35" s="1" t="s">
        <v>44</v>
      </c>
      <c r="C35" s="1">
        <v>73</v>
      </c>
      <c r="D35" s="1" t="s">
        <v>14</v>
      </c>
      <c r="E35" s="1">
        <v>3</v>
      </c>
      <c r="F35" s="2">
        <v>45762</v>
      </c>
      <c r="G35" s="2">
        <v>45771</v>
      </c>
      <c r="H35" s="1">
        <v>2</v>
      </c>
      <c r="I35" s="1">
        <v>5368</v>
      </c>
      <c r="J35" t="str">
        <f>VLOOKUP(E35,Dignosis!$A$1:$B$11,2,)</f>
        <v>Heart Disease</v>
      </c>
      <c r="K35" t="str">
        <f>VLOOKUP(H35,patients!$A$1:$B$4,2,)</f>
        <v>Jessica Zimmerman</v>
      </c>
      <c r="L35">
        <f t="shared" si="0"/>
        <v>9</v>
      </c>
      <c r="M35" t="str">
        <f>IF(VLOOKUP(A35,labs!A35:E234,3,FALSE)&gt;120,"high",)</f>
        <v>high</v>
      </c>
      <c r="N35" t="str">
        <f t="shared" si="1"/>
        <v>low risk</v>
      </c>
    </row>
    <row r="36" spans="1:14" x14ac:dyDescent="0.25">
      <c r="A36" s="1">
        <v>35</v>
      </c>
      <c r="B36" s="1" t="s">
        <v>45</v>
      </c>
      <c r="C36" s="1">
        <v>54</v>
      </c>
      <c r="D36" s="1" t="s">
        <v>10</v>
      </c>
      <c r="E36" s="1">
        <v>1</v>
      </c>
      <c r="F36" s="2">
        <v>45687</v>
      </c>
      <c r="G36" s="2">
        <v>45700</v>
      </c>
      <c r="H36" s="1">
        <v>3</v>
      </c>
      <c r="I36" s="1">
        <v>5797</v>
      </c>
      <c r="J36" t="str">
        <f>VLOOKUP(E36,Dignosis!$A$1:$B$11,2,)</f>
        <v>Hypertension</v>
      </c>
      <c r="K36" t="str">
        <f>VLOOKUP(H36,patients!$A$1:$B$4,2,)</f>
        <v>Gina Alexander</v>
      </c>
      <c r="L36">
        <f t="shared" si="0"/>
        <v>13</v>
      </c>
      <c r="M36" t="str">
        <f>IF(VLOOKUP(A36,labs!A36:E235,3,FALSE)&gt;120,"high",)</f>
        <v>high</v>
      </c>
      <c r="N36" t="str">
        <f t="shared" si="1"/>
        <v>high risk</v>
      </c>
    </row>
    <row r="37" spans="1:14" x14ac:dyDescent="0.25">
      <c r="A37" s="1">
        <v>36</v>
      </c>
      <c r="B37" s="1" t="s">
        <v>46</v>
      </c>
      <c r="C37" s="1">
        <v>78</v>
      </c>
      <c r="D37" s="1" t="s">
        <v>10</v>
      </c>
      <c r="E37" s="1">
        <v>1</v>
      </c>
      <c r="F37" s="2">
        <v>45674</v>
      </c>
      <c r="G37" s="2">
        <v>45758</v>
      </c>
      <c r="H37" s="1">
        <v>2</v>
      </c>
      <c r="I37" s="1">
        <v>8922</v>
      </c>
      <c r="J37" t="str">
        <f>VLOOKUP(E37,Dignosis!$A$1:$B$11,2,)</f>
        <v>Hypertension</v>
      </c>
      <c r="K37" t="str">
        <f>VLOOKUP(H37,patients!$A$1:$B$4,2,)</f>
        <v>Jessica Zimmerman</v>
      </c>
      <c r="L37">
        <f t="shared" si="0"/>
        <v>84</v>
      </c>
      <c r="M37" t="str">
        <f>IF(VLOOKUP(A37,labs!A37:E236,3,FALSE)&gt;120,"high",)</f>
        <v>high</v>
      </c>
      <c r="N37" t="str">
        <f t="shared" si="1"/>
        <v>low risk</v>
      </c>
    </row>
    <row r="38" spans="1:14" x14ac:dyDescent="0.25">
      <c r="A38" s="1">
        <v>37</v>
      </c>
      <c r="B38" s="1" t="s">
        <v>47</v>
      </c>
      <c r="C38" s="1">
        <v>56</v>
      </c>
      <c r="D38" s="1" t="s">
        <v>10</v>
      </c>
      <c r="E38" s="1">
        <v>5</v>
      </c>
      <c r="F38" s="2">
        <v>45770</v>
      </c>
      <c r="G38" s="2">
        <v>45780</v>
      </c>
      <c r="H38" s="1">
        <v>1</v>
      </c>
      <c r="I38" s="1">
        <v>7526</v>
      </c>
      <c r="J38" t="str">
        <f>VLOOKUP(E38,Dignosis!$A$1:$B$11,2,)</f>
        <v>Stroke</v>
      </c>
      <c r="K38" t="str">
        <f>VLOOKUP(H38,patients!$A$1:$B$4,2,)</f>
        <v>Edward Montes</v>
      </c>
      <c r="L38">
        <f t="shared" si="0"/>
        <v>10</v>
      </c>
      <c r="M38" t="str">
        <f>IF(VLOOKUP(A38,labs!A38:E237,3,FALSE)&gt;120,"high",)</f>
        <v>high</v>
      </c>
      <c r="N38" t="str">
        <f t="shared" si="1"/>
        <v>high risk</v>
      </c>
    </row>
    <row r="39" spans="1:14" x14ac:dyDescent="0.25">
      <c r="A39" s="1">
        <v>38</v>
      </c>
      <c r="B39" s="1" t="s">
        <v>48</v>
      </c>
      <c r="C39" s="1">
        <v>88</v>
      </c>
      <c r="D39" s="1" t="s">
        <v>10</v>
      </c>
      <c r="E39" s="1">
        <v>6</v>
      </c>
      <c r="F39" s="2">
        <v>45719</v>
      </c>
      <c r="G39" s="2">
        <v>45738</v>
      </c>
      <c r="H39" s="1">
        <v>2</v>
      </c>
      <c r="I39" s="1">
        <v>3792</v>
      </c>
      <c r="J39" t="str">
        <f>VLOOKUP(E39,Dignosis!$A$1:$B$11,2,)</f>
        <v>COPD</v>
      </c>
      <c r="K39" t="str">
        <f>VLOOKUP(H39,patients!$A$1:$B$4,2,)</f>
        <v>Jessica Zimmerman</v>
      </c>
      <c r="L39">
        <f t="shared" si="0"/>
        <v>19</v>
      </c>
      <c r="M39" t="str">
        <f>IF(VLOOKUP(A39,labs!A39:E238,3,FALSE)&gt;120,"high",)</f>
        <v>high</v>
      </c>
      <c r="N39" t="str">
        <f t="shared" si="1"/>
        <v>low risk</v>
      </c>
    </row>
    <row r="40" spans="1:14" x14ac:dyDescent="0.25">
      <c r="A40" s="1">
        <v>39</v>
      </c>
      <c r="B40" s="1" t="s">
        <v>49</v>
      </c>
      <c r="C40" s="1">
        <v>71</v>
      </c>
      <c r="D40" s="1" t="s">
        <v>14</v>
      </c>
      <c r="E40" s="1">
        <v>3</v>
      </c>
      <c r="F40" s="2">
        <v>45741</v>
      </c>
      <c r="G40" s="2">
        <v>45742</v>
      </c>
      <c r="H40" s="1">
        <v>3</v>
      </c>
      <c r="I40" s="1">
        <v>4861</v>
      </c>
      <c r="J40" t="str">
        <f>VLOOKUP(E40,Dignosis!$A$1:$B$11,2,)</f>
        <v>Heart Disease</v>
      </c>
      <c r="K40" t="str">
        <f>VLOOKUP(H40,patients!$A$1:$B$4,2,)</f>
        <v>Gina Alexander</v>
      </c>
      <c r="L40">
        <f t="shared" si="0"/>
        <v>1</v>
      </c>
      <c r="M40" t="str">
        <f>IF(VLOOKUP(A40,labs!A40:E239,3,FALSE)&gt;120,"high",)</f>
        <v>high</v>
      </c>
      <c r="N40" t="str">
        <f t="shared" si="1"/>
        <v>low risk</v>
      </c>
    </row>
    <row r="41" spans="1:14" x14ac:dyDescent="0.25">
      <c r="A41" s="1">
        <v>40</v>
      </c>
      <c r="B41" s="1" t="s">
        <v>50</v>
      </c>
      <c r="C41" s="1">
        <v>57</v>
      </c>
      <c r="D41" s="1" t="s">
        <v>14</v>
      </c>
      <c r="E41" s="1">
        <v>9</v>
      </c>
      <c r="F41" s="2">
        <v>45769</v>
      </c>
      <c r="G41" s="2">
        <v>45820</v>
      </c>
      <c r="H41" s="1">
        <v>3</v>
      </c>
      <c r="I41" s="1">
        <v>7732</v>
      </c>
      <c r="J41" t="str">
        <f>VLOOKUP(E41,Dignosis!$A$1:$B$11,2,)</f>
        <v>Kidney Disease</v>
      </c>
      <c r="K41" t="str">
        <f>VLOOKUP(H41,patients!$A$1:$B$4,2,)</f>
        <v>Gina Alexander</v>
      </c>
      <c r="L41">
        <f t="shared" si="0"/>
        <v>51</v>
      </c>
      <c r="M41" t="str">
        <f>IF(VLOOKUP(A41,labs!A41:E240,3,FALSE)&gt;120,"high",)</f>
        <v>high</v>
      </c>
      <c r="N41" t="str">
        <f t="shared" si="1"/>
        <v>high risk</v>
      </c>
    </row>
    <row r="42" spans="1:14" x14ac:dyDescent="0.25">
      <c r="A42" s="1">
        <v>41</v>
      </c>
      <c r="B42" s="1" t="s">
        <v>51</v>
      </c>
      <c r="C42" s="1">
        <v>89</v>
      </c>
      <c r="D42" s="1" t="s">
        <v>10</v>
      </c>
      <c r="E42" s="1">
        <v>5</v>
      </c>
      <c r="F42" s="2">
        <v>45743</v>
      </c>
      <c r="G42" s="2">
        <v>45828</v>
      </c>
      <c r="H42" s="1">
        <v>2</v>
      </c>
      <c r="I42" s="1">
        <v>5476</v>
      </c>
      <c r="J42" t="str">
        <f>VLOOKUP(E42,Dignosis!$A$1:$B$11,2,)</f>
        <v>Stroke</v>
      </c>
      <c r="K42" t="str">
        <f>VLOOKUP(H42,patients!$A$1:$B$4,2,)</f>
        <v>Jessica Zimmerman</v>
      </c>
      <c r="L42">
        <f t="shared" si="0"/>
        <v>85</v>
      </c>
      <c r="M42" t="str">
        <f>IF(VLOOKUP(A42,labs!A42:E241,3,FALSE)&gt;120,"high",)</f>
        <v>high</v>
      </c>
      <c r="N42" t="str">
        <f t="shared" si="1"/>
        <v>low risk</v>
      </c>
    </row>
    <row r="43" spans="1:14" x14ac:dyDescent="0.25">
      <c r="A43" s="1">
        <v>42</v>
      </c>
      <c r="B43" s="1" t="s">
        <v>52</v>
      </c>
      <c r="C43" s="1">
        <v>45</v>
      </c>
      <c r="D43" s="1" t="s">
        <v>10</v>
      </c>
      <c r="E43" s="1">
        <v>8</v>
      </c>
      <c r="F43" s="2">
        <v>45798</v>
      </c>
      <c r="G43" s="2">
        <v>45848</v>
      </c>
      <c r="H43" s="1">
        <v>3</v>
      </c>
      <c r="I43" s="1">
        <v>5417</v>
      </c>
      <c r="J43" t="str">
        <f>VLOOKUP(E43,Dignosis!$A$1:$B$11,2,)</f>
        <v>Arthritis</v>
      </c>
      <c r="K43" t="str">
        <f>VLOOKUP(H43,patients!$A$1:$B$4,2,)</f>
        <v>Gina Alexander</v>
      </c>
      <c r="L43">
        <f t="shared" si="0"/>
        <v>50</v>
      </c>
      <c r="M43" t="str">
        <f>IF(VLOOKUP(A43,labs!A43:E242,3,FALSE)&gt;120,"high",)</f>
        <v>high</v>
      </c>
      <c r="N43" t="str">
        <f t="shared" si="1"/>
        <v>high risk</v>
      </c>
    </row>
    <row r="44" spans="1:14" x14ac:dyDescent="0.25">
      <c r="A44" s="1">
        <v>43</v>
      </c>
      <c r="B44" s="1" t="s">
        <v>53</v>
      </c>
      <c r="C44" s="1">
        <v>44</v>
      </c>
      <c r="D44" s="1" t="s">
        <v>14</v>
      </c>
      <c r="E44" s="1">
        <v>1</v>
      </c>
      <c r="F44" s="2">
        <v>45676</v>
      </c>
      <c r="G44" s="2">
        <v>45784</v>
      </c>
      <c r="H44" s="1">
        <v>1</v>
      </c>
      <c r="I44" s="1">
        <v>3645</v>
      </c>
      <c r="J44" t="str">
        <f>VLOOKUP(E44,Dignosis!$A$1:$B$11,2,)</f>
        <v>Hypertension</v>
      </c>
      <c r="K44" t="str">
        <f>VLOOKUP(H44,patients!$A$1:$B$4,2,)</f>
        <v>Edward Montes</v>
      </c>
      <c r="L44">
        <f t="shared" si="0"/>
        <v>108</v>
      </c>
      <c r="M44" t="str">
        <f>IF(VLOOKUP(A44,labs!A44:E243,3,FALSE)&gt;120,"high",)</f>
        <v>high</v>
      </c>
      <c r="N44" t="str">
        <f t="shared" si="1"/>
        <v>high risk</v>
      </c>
    </row>
    <row r="45" spans="1:14" x14ac:dyDescent="0.25">
      <c r="A45" s="1">
        <v>44</v>
      </c>
      <c r="B45" s="1" t="s">
        <v>54</v>
      </c>
      <c r="C45" s="1">
        <v>76</v>
      </c>
      <c r="D45" s="1" t="s">
        <v>10</v>
      </c>
      <c r="E45" s="1">
        <v>5</v>
      </c>
      <c r="F45" s="2">
        <v>45834</v>
      </c>
      <c r="G45" s="2">
        <v>45843</v>
      </c>
      <c r="H45" s="1">
        <v>1</v>
      </c>
      <c r="I45" s="1">
        <v>8563</v>
      </c>
      <c r="J45" t="str">
        <f>VLOOKUP(E45,Dignosis!$A$1:$B$11,2,)</f>
        <v>Stroke</v>
      </c>
      <c r="K45" t="str">
        <f>VLOOKUP(H45,patients!$A$1:$B$4,2,)</f>
        <v>Edward Montes</v>
      </c>
      <c r="L45">
        <f t="shared" si="0"/>
        <v>9</v>
      </c>
      <c r="M45" t="str">
        <f>IF(VLOOKUP(A45,labs!A45:E244,3,FALSE)&gt;120,"high",)</f>
        <v>high</v>
      </c>
      <c r="N45" t="str">
        <f t="shared" si="1"/>
        <v>low risk</v>
      </c>
    </row>
    <row r="46" spans="1:14" x14ac:dyDescent="0.25">
      <c r="A46" s="1">
        <v>45</v>
      </c>
      <c r="B46" s="1" t="s">
        <v>55</v>
      </c>
      <c r="C46" s="1">
        <v>80</v>
      </c>
      <c r="D46" s="1" t="s">
        <v>10</v>
      </c>
      <c r="E46" s="1">
        <v>3</v>
      </c>
      <c r="F46" s="2">
        <v>45757</v>
      </c>
      <c r="G46" s="2">
        <v>45789</v>
      </c>
      <c r="H46" s="1">
        <v>2</v>
      </c>
      <c r="I46" s="1">
        <v>3205</v>
      </c>
      <c r="J46" t="str">
        <f>VLOOKUP(E46,Dignosis!$A$1:$B$11,2,)</f>
        <v>Heart Disease</v>
      </c>
      <c r="K46" t="str">
        <f>VLOOKUP(H46,patients!$A$1:$B$4,2,)</f>
        <v>Jessica Zimmerman</v>
      </c>
      <c r="L46">
        <f t="shared" si="0"/>
        <v>32</v>
      </c>
      <c r="M46" t="str">
        <f>IF(VLOOKUP(A46,labs!A46:E245,3,FALSE)&gt;120,"high",)</f>
        <v>high</v>
      </c>
      <c r="N46" t="str">
        <f t="shared" si="1"/>
        <v>low risk</v>
      </c>
    </row>
    <row r="47" spans="1:14" x14ac:dyDescent="0.25">
      <c r="A47" s="1">
        <v>46</v>
      </c>
      <c r="B47" s="1" t="s">
        <v>56</v>
      </c>
      <c r="C47" s="1">
        <v>73</v>
      </c>
      <c r="D47" s="1" t="s">
        <v>10</v>
      </c>
      <c r="E47" s="1">
        <v>1</v>
      </c>
      <c r="F47" s="2">
        <v>45797</v>
      </c>
      <c r="G47" s="2">
        <v>45801</v>
      </c>
      <c r="H47" s="1">
        <v>2</v>
      </c>
      <c r="I47" s="1">
        <v>5030</v>
      </c>
      <c r="J47" t="str">
        <f>VLOOKUP(E47,Dignosis!$A$1:$B$11,2,)</f>
        <v>Hypertension</v>
      </c>
      <c r="K47" t="str">
        <f>VLOOKUP(H47,patients!$A$1:$B$4,2,)</f>
        <v>Jessica Zimmerman</v>
      </c>
      <c r="L47">
        <f t="shared" si="0"/>
        <v>4</v>
      </c>
      <c r="M47" t="str">
        <f>IF(VLOOKUP(A47,labs!A47:E246,3,FALSE)&gt;120,"high",)</f>
        <v>high</v>
      </c>
      <c r="N47" t="str">
        <f t="shared" si="1"/>
        <v>low risk</v>
      </c>
    </row>
    <row r="48" spans="1:14" x14ac:dyDescent="0.25">
      <c r="A48" s="1">
        <v>47</v>
      </c>
      <c r="B48" s="1" t="s">
        <v>57</v>
      </c>
      <c r="C48" s="1">
        <v>84</v>
      </c>
      <c r="D48" s="1" t="s">
        <v>14</v>
      </c>
      <c r="E48" s="1">
        <v>4</v>
      </c>
      <c r="F48" s="2">
        <v>45804</v>
      </c>
      <c r="G48" s="2">
        <v>45813</v>
      </c>
      <c r="H48" s="1">
        <v>2</v>
      </c>
      <c r="I48" s="1">
        <v>4872</v>
      </c>
      <c r="J48" t="str">
        <f>VLOOKUP(E48,Dignosis!$A$1:$B$11,2,)</f>
        <v>Asthma</v>
      </c>
      <c r="K48" t="str">
        <f>VLOOKUP(H48,patients!$A$1:$B$4,2,)</f>
        <v>Jessica Zimmerman</v>
      </c>
      <c r="L48">
        <f t="shared" si="0"/>
        <v>9</v>
      </c>
      <c r="M48" t="str">
        <f>IF(VLOOKUP(A48,labs!A48:E247,3,FALSE)&gt;120,"high",)</f>
        <v>high</v>
      </c>
      <c r="N48" t="str">
        <f t="shared" si="1"/>
        <v>low risk</v>
      </c>
    </row>
    <row r="49" spans="1:14" x14ac:dyDescent="0.25">
      <c r="A49" s="1">
        <v>48</v>
      </c>
      <c r="B49" s="1" t="s">
        <v>58</v>
      </c>
      <c r="C49" s="1">
        <v>81</v>
      </c>
      <c r="D49" s="1" t="s">
        <v>14</v>
      </c>
      <c r="E49" s="1">
        <v>5</v>
      </c>
      <c r="F49" s="2">
        <v>45733</v>
      </c>
      <c r="G49" s="2">
        <v>45740</v>
      </c>
      <c r="H49" s="1">
        <v>3</v>
      </c>
      <c r="I49" s="1">
        <v>5072</v>
      </c>
      <c r="J49" t="str">
        <f>VLOOKUP(E49,Dignosis!$A$1:$B$11,2,)</f>
        <v>Stroke</v>
      </c>
      <c r="K49" t="str">
        <f>VLOOKUP(H49,patients!$A$1:$B$4,2,)</f>
        <v>Gina Alexander</v>
      </c>
      <c r="L49">
        <f t="shared" si="0"/>
        <v>7</v>
      </c>
      <c r="M49" t="str">
        <f>IF(VLOOKUP(A49,labs!A49:E248,3,FALSE)&gt;120,"high",)</f>
        <v>high</v>
      </c>
      <c r="N49" t="str">
        <f t="shared" si="1"/>
        <v>low risk</v>
      </c>
    </row>
    <row r="50" spans="1:14" x14ac:dyDescent="0.25">
      <c r="A50" s="1">
        <v>49</v>
      </c>
      <c r="B50" s="1" t="s">
        <v>59</v>
      </c>
      <c r="C50" s="1">
        <v>86</v>
      </c>
      <c r="D50" s="1" t="s">
        <v>14</v>
      </c>
      <c r="E50" s="1">
        <v>7</v>
      </c>
      <c r="F50" s="2">
        <v>45666</v>
      </c>
      <c r="G50" s="2">
        <v>45799</v>
      </c>
      <c r="H50" s="1">
        <v>1</v>
      </c>
      <c r="I50" s="1">
        <v>3854</v>
      </c>
      <c r="J50" t="str">
        <f>VLOOKUP(E50,Dignosis!$A$1:$B$11,2,)</f>
        <v>Cancer</v>
      </c>
      <c r="K50" t="str">
        <f>VLOOKUP(H50,patients!$A$1:$B$4,2,)</f>
        <v>Edward Montes</v>
      </c>
      <c r="L50">
        <f t="shared" si="0"/>
        <v>133</v>
      </c>
      <c r="M50" t="str">
        <f>IF(VLOOKUP(A50,labs!A50:E249,3,FALSE)&gt;120,"high",)</f>
        <v>high</v>
      </c>
      <c r="N50" t="str">
        <f t="shared" si="1"/>
        <v>low risk</v>
      </c>
    </row>
    <row r="51" spans="1:14" x14ac:dyDescent="0.25">
      <c r="A51" s="1">
        <v>50</v>
      </c>
      <c r="B51" s="1" t="s">
        <v>60</v>
      </c>
      <c r="C51" s="1">
        <v>32</v>
      </c>
      <c r="D51" s="1" t="s">
        <v>10</v>
      </c>
      <c r="E51" s="1">
        <v>1</v>
      </c>
      <c r="F51" s="2">
        <v>45685</v>
      </c>
      <c r="G51" s="2">
        <v>45723</v>
      </c>
      <c r="H51" s="1">
        <v>1</v>
      </c>
      <c r="I51" s="1">
        <v>6021</v>
      </c>
      <c r="J51" t="str">
        <f>VLOOKUP(E51,Dignosis!$A$1:$B$11,2,)</f>
        <v>Hypertension</v>
      </c>
      <c r="K51" t="str">
        <f>VLOOKUP(H51,patients!$A$1:$B$4,2,)</f>
        <v>Edward Montes</v>
      </c>
      <c r="L51">
        <f t="shared" si="0"/>
        <v>38</v>
      </c>
      <c r="M51" t="str">
        <f>IF(VLOOKUP(A51,labs!A51:E250,3,FALSE)&gt;120,"high",)</f>
        <v>high</v>
      </c>
      <c r="N51" t="str">
        <f t="shared" si="1"/>
        <v>high risk</v>
      </c>
    </row>
    <row r="52" spans="1:14" x14ac:dyDescent="0.25">
      <c r="A52" s="1">
        <v>51</v>
      </c>
      <c r="B52" s="1" t="s">
        <v>61</v>
      </c>
      <c r="C52" s="1">
        <v>66</v>
      </c>
      <c r="D52" s="1" t="s">
        <v>10</v>
      </c>
      <c r="E52" s="1">
        <v>3</v>
      </c>
      <c r="F52" s="2">
        <v>45785</v>
      </c>
      <c r="G52" s="2">
        <v>45811</v>
      </c>
      <c r="H52" s="1">
        <v>3</v>
      </c>
      <c r="I52" s="1">
        <v>6662</v>
      </c>
      <c r="J52" t="str">
        <f>VLOOKUP(E52,Dignosis!$A$1:$B$11,2,)</f>
        <v>Heart Disease</v>
      </c>
      <c r="K52" t="str">
        <f>VLOOKUP(H52,patients!$A$1:$B$4,2,)</f>
        <v>Gina Alexander</v>
      </c>
      <c r="L52">
        <f t="shared" si="0"/>
        <v>26</v>
      </c>
      <c r="M52" t="str">
        <f>IF(VLOOKUP(A52,labs!A52:E251,3,FALSE)&gt;120,"high",)</f>
        <v>high</v>
      </c>
      <c r="N52" t="str">
        <f t="shared" si="1"/>
        <v>low risk</v>
      </c>
    </row>
    <row r="53" spans="1:14" x14ac:dyDescent="0.25">
      <c r="A53" s="1">
        <v>52</v>
      </c>
      <c r="B53" s="1" t="s">
        <v>62</v>
      </c>
      <c r="C53" s="1">
        <v>80</v>
      </c>
      <c r="D53" s="1" t="s">
        <v>14</v>
      </c>
      <c r="E53" s="1">
        <v>2</v>
      </c>
      <c r="F53" s="2">
        <v>45709</v>
      </c>
      <c r="G53" s="2">
        <v>45778</v>
      </c>
      <c r="H53" s="1">
        <v>1</v>
      </c>
      <c r="I53" s="1">
        <v>8514</v>
      </c>
      <c r="J53" t="str">
        <f>VLOOKUP(E53,Dignosis!$A$1:$B$11,2,)</f>
        <v>Diabetes</v>
      </c>
      <c r="K53" t="str">
        <f>VLOOKUP(H53,patients!$A$1:$B$4,2,)</f>
        <v>Edward Montes</v>
      </c>
      <c r="L53">
        <f t="shared" si="0"/>
        <v>69</v>
      </c>
      <c r="M53" t="str">
        <f>IF(VLOOKUP(A53,labs!A53:E252,3,FALSE)&gt;120,"high",)</f>
        <v>high</v>
      </c>
      <c r="N53" t="str">
        <f t="shared" si="1"/>
        <v>low risk</v>
      </c>
    </row>
    <row r="54" spans="1:14" x14ac:dyDescent="0.25">
      <c r="A54" s="1">
        <v>53</v>
      </c>
      <c r="B54" s="1" t="s">
        <v>63</v>
      </c>
      <c r="C54" s="1">
        <v>36</v>
      </c>
      <c r="D54" s="1" t="s">
        <v>14</v>
      </c>
      <c r="E54" s="1">
        <v>9</v>
      </c>
      <c r="F54" s="2">
        <v>45740</v>
      </c>
      <c r="G54" s="2">
        <v>45744</v>
      </c>
      <c r="H54" s="1">
        <v>2</v>
      </c>
      <c r="I54" s="1">
        <v>7031</v>
      </c>
      <c r="J54" t="str">
        <f>VLOOKUP(E54,Dignosis!$A$1:$B$11,2,)</f>
        <v>Kidney Disease</v>
      </c>
      <c r="K54" t="str">
        <f>VLOOKUP(H54,patients!$A$1:$B$4,2,)</f>
        <v>Jessica Zimmerman</v>
      </c>
      <c r="L54">
        <f t="shared" si="0"/>
        <v>4</v>
      </c>
      <c r="M54" t="str">
        <f>IF(VLOOKUP(A54,labs!A54:E253,3,FALSE)&gt;120,"high",)</f>
        <v>high</v>
      </c>
      <c r="N54" t="str">
        <f t="shared" si="1"/>
        <v>high risk</v>
      </c>
    </row>
    <row r="55" spans="1:14" x14ac:dyDescent="0.25">
      <c r="A55" s="1">
        <v>54</v>
      </c>
      <c r="B55" s="1" t="s">
        <v>64</v>
      </c>
      <c r="C55" s="1">
        <v>50</v>
      </c>
      <c r="D55" s="1" t="s">
        <v>14</v>
      </c>
      <c r="E55" s="1">
        <v>10</v>
      </c>
      <c r="F55" s="2">
        <v>45768</v>
      </c>
      <c r="G55" s="2">
        <v>45817</v>
      </c>
      <c r="H55" s="1">
        <v>2</v>
      </c>
      <c r="I55" s="1">
        <v>8030</v>
      </c>
      <c r="J55" t="str">
        <f>VLOOKUP(E55,Dignosis!$A$1:$B$11,2,)</f>
        <v>Liver Disease</v>
      </c>
      <c r="K55" t="str">
        <f>VLOOKUP(H55,patients!$A$1:$B$4,2,)</f>
        <v>Jessica Zimmerman</v>
      </c>
      <c r="L55">
        <f t="shared" si="0"/>
        <v>49</v>
      </c>
      <c r="M55" t="str">
        <f>IF(VLOOKUP(A55,labs!A55:E254,3,FALSE)&gt;120,"high",)</f>
        <v>high</v>
      </c>
      <c r="N55" t="str">
        <f t="shared" si="1"/>
        <v>high risk</v>
      </c>
    </row>
    <row r="56" spans="1:14" x14ac:dyDescent="0.25">
      <c r="A56" s="1">
        <v>55</v>
      </c>
      <c r="B56" s="1" t="s">
        <v>65</v>
      </c>
      <c r="C56" s="1">
        <v>38</v>
      </c>
      <c r="D56" s="1" t="s">
        <v>14</v>
      </c>
      <c r="E56" s="1">
        <v>6</v>
      </c>
      <c r="F56" s="2">
        <v>45801</v>
      </c>
      <c r="G56" s="2">
        <v>45809</v>
      </c>
      <c r="H56" s="1">
        <v>2</v>
      </c>
      <c r="I56" s="1">
        <v>4708</v>
      </c>
      <c r="J56" t="str">
        <f>VLOOKUP(E56,Dignosis!$A$1:$B$11,2,)</f>
        <v>COPD</v>
      </c>
      <c r="K56" t="str">
        <f>VLOOKUP(H56,patients!$A$1:$B$4,2,)</f>
        <v>Jessica Zimmerman</v>
      </c>
      <c r="L56">
        <f t="shared" si="0"/>
        <v>8</v>
      </c>
      <c r="M56" t="str">
        <f>IF(VLOOKUP(A56,labs!A56:E255,3,FALSE)&gt;120,"high",)</f>
        <v>high</v>
      </c>
      <c r="N56" t="str">
        <f t="shared" si="1"/>
        <v>high risk</v>
      </c>
    </row>
    <row r="57" spans="1:14" x14ac:dyDescent="0.25">
      <c r="A57" s="1">
        <v>56</v>
      </c>
      <c r="B57" s="1" t="s">
        <v>66</v>
      </c>
      <c r="C57" s="1">
        <v>68</v>
      </c>
      <c r="D57" s="1" t="s">
        <v>10</v>
      </c>
      <c r="E57" s="1">
        <v>10</v>
      </c>
      <c r="F57" s="2">
        <v>45774</v>
      </c>
      <c r="G57" s="2">
        <v>45808</v>
      </c>
      <c r="H57" s="1">
        <v>1</v>
      </c>
      <c r="I57" s="1">
        <v>5502</v>
      </c>
      <c r="J57" t="str">
        <f>VLOOKUP(E57,Dignosis!$A$1:$B$11,2,)</f>
        <v>Liver Disease</v>
      </c>
      <c r="K57" t="str">
        <f>VLOOKUP(H57,patients!$A$1:$B$4,2,)</f>
        <v>Edward Montes</v>
      </c>
      <c r="L57">
        <f t="shared" si="0"/>
        <v>34</v>
      </c>
      <c r="M57" t="str">
        <f>IF(VLOOKUP(A57,labs!A57:E256,3,FALSE)&gt;120,"high",)</f>
        <v>high</v>
      </c>
      <c r="N57" t="str">
        <f t="shared" si="1"/>
        <v>low risk</v>
      </c>
    </row>
    <row r="58" spans="1:14" x14ac:dyDescent="0.25">
      <c r="A58" s="1">
        <v>57</v>
      </c>
      <c r="B58" s="1" t="s">
        <v>67</v>
      </c>
      <c r="C58" s="1">
        <v>47</v>
      </c>
      <c r="D58" s="1" t="s">
        <v>14</v>
      </c>
      <c r="E58" s="1">
        <v>3</v>
      </c>
      <c r="F58" s="2">
        <v>45726</v>
      </c>
      <c r="G58" s="2">
        <v>45732</v>
      </c>
      <c r="H58" s="1">
        <v>2</v>
      </c>
      <c r="I58" s="1">
        <v>9112</v>
      </c>
      <c r="J58" t="str">
        <f>VLOOKUP(E58,Dignosis!$A$1:$B$11,2,)</f>
        <v>Heart Disease</v>
      </c>
      <c r="K58" t="str">
        <f>VLOOKUP(H58,patients!$A$1:$B$4,2,)</f>
        <v>Jessica Zimmerman</v>
      </c>
      <c r="L58">
        <f t="shared" si="0"/>
        <v>6</v>
      </c>
      <c r="M58" t="str">
        <f>IF(VLOOKUP(A58,labs!A58:E257,3,FALSE)&gt;120,"high",)</f>
        <v>high</v>
      </c>
      <c r="N58" t="str">
        <f t="shared" si="1"/>
        <v>high risk</v>
      </c>
    </row>
    <row r="59" spans="1:14" x14ac:dyDescent="0.25">
      <c r="A59" s="1">
        <v>58</v>
      </c>
      <c r="B59" s="1" t="s">
        <v>68</v>
      </c>
      <c r="C59" s="1">
        <v>33</v>
      </c>
      <c r="D59" s="1" t="s">
        <v>10</v>
      </c>
      <c r="E59" s="1">
        <v>8</v>
      </c>
      <c r="F59" s="2">
        <v>45756</v>
      </c>
      <c r="G59" s="2">
        <v>45766</v>
      </c>
      <c r="H59" s="1">
        <v>3</v>
      </c>
      <c r="I59" s="1">
        <v>3332</v>
      </c>
      <c r="J59" t="str">
        <f>VLOOKUP(E59,Dignosis!$A$1:$B$11,2,)</f>
        <v>Arthritis</v>
      </c>
      <c r="K59" t="str">
        <f>VLOOKUP(H59,patients!$A$1:$B$4,2,)</f>
        <v>Gina Alexander</v>
      </c>
      <c r="L59">
        <f t="shared" si="0"/>
        <v>10</v>
      </c>
      <c r="M59" t="str">
        <f>IF(VLOOKUP(A59,labs!A59:E258,3,FALSE)&gt;120,"high",)</f>
        <v>high</v>
      </c>
      <c r="N59" t="str">
        <f t="shared" si="1"/>
        <v>high risk</v>
      </c>
    </row>
    <row r="60" spans="1:14" x14ac:dyDescent="0.25">
      <c r="A60" s="1">
        <v>59</v>
      </c>
      <c r="B60" s="1" t="s">
        <v>69</v>
      </c>
      <c r="C60" s="1">
        <v>54</v>
      </c>
      <c r="D60" s="1" t="s">
        <v>14</v>
      </c>
      <c r="E60" s="1">
        <v>8</v>
      </c>
      <c r="F60" s="2">
        <v>45797</v>
      </c>
      <c r="G60" s="2">
        <v>45845</v>
      </c>
      <c r="H60" s="1">
        <v>3</v>
      </c>
      <c r="I60" s="1">
        <v>9304</v>
      </c>
      <c r="J60" t="str">
        <f>VLOOKUP(E60,Dignosis!$A$1:$B$11,2,)</f>
        <v>Arthritis</v>
      </c>
      <c r="K60" t="str">
        <f>VLOOKUP(H60,patients!$A$1:$B$4,2,)</f>
        <v>Gina Alexander</v>
      </c>
      <c r="L60">
        <f t="shared" si="0"/>
        <v>48</v>
      </c>
      <c r="M60" t="str">
        <f>IF(VLOOKUP(A60,labs!A60:E259,3,FALSE)&gt;120,"high",)</f>
        <v>high</v>
      </c>
      <c r="N60" t="str">
        <f t="shared" si="1"/>
        <v>high risk</v>
      </c>
    </row>
    <row r="61" spans="1:14" x14ac:dyDescent="0.25">
      <c r="A61" s="1">
        <v>60</v>
      </c>
      <c r="B61" s="1" t="s">
        <v>70</v>
      </c>
      <c r="C61" s="1">
        <v>89</v>
      </c>
      <c r="D61" s="1" t="s">
        <v>10</v>
      </c>
      <c r="E61" s="1">
        <v>2</v>
      </c>
      <c r="F61" s="2">
        <v>45682</v>
      </c>
      <c r="G61" s="2">
        <v>45769</v>
      </c>
      <c r="H61" s="1">
        <v>1</v>
      </c>
      <c r="I61" s="1">
        <v>2201</v>
      </c>
      <c r="J61" t="str">
        <f>VLOOKUP(E61,Dignosis!$A$1:$B$11,2,)</f>
        <v>Diabetes</v>
      </c>
      <c r="K61" t="str">
        <f>VLOOKUP(H61,patients!$A$1:$B$4,2,)</f>
        <v>Edward Montes</v>
      </c>
      <c r="L61">
        <f t="shared" si="0"/>
        <v>87</v>
      </c>
      <c r="M61" t="str">
        <f>IF(VLOOKUP(A61,labs!A61:E260,3,FALSE)&gt;120,"high",)</f>
        <v>high</v>
      </c>
      <c r="N61" t="str">
        <f t="shared" si="1"/>
        <v>low risk</v>
      </c>
    </row>
    <row r="62" spans="1:14" x14ac:dyDescent="0.25">
      <c r="A62" s="1">
        <v>61</v>
      </c>
      <c r="B62" s="1" t="s">
        <v>71</v>
      </c>
      <c r="C62" s="1">
        <v>43</v>
      </c>
      <c r="D62" s="1" t="s">
        <v>14</v>
      </c>
      <c r="E62" s="1">
        <v>6</v>
      </c>
      <c r="F62" s="2">
        <v>45837</v>
      </c>
      <c r="G62" s="2">
        <v>45842</v>
      </c>
      <c r="H62" s="1">
        <v>3</v>
      </c>
      <c r="I62" s="1">
        <v>5507</v>
      </c>
      <c r="J62" t="str">
        <f>VLOOKUP(E62,Dignosis!$A$1:$B$11,2,)</f>
        <v>COPD</v>
      </c>
      <c r="K62" t="str">
        <f>VLOOKUP(H62,patients!$A$1:$B$4,2,)</f>
        <v>Gina Alexander</v>
      </c>
      <c r="L62">
        <f t="shared" si="0"/>
        <v>5</v>
      </c>
      <c r="M62" t="str">
        <f>IF(VLOOKUP(A62,labs!A62:E261,3,FALSE)&gt;120,"high",)</f>
        <v>high</v>
      </c>
      <c r="N62" t="str">
        <f t="shared" si="1"/>
        <v>high risk</v>
      </c>
    </row>
    <row r="63" spans="1:14" x14ac:dyDescent="0.25">
      <c r="A63" s="1">
        <v>62</v>
      </c>
      <c r="B63" s="1" t="s">
        <v>72</v>
      </c>
      <c r="C63" s="1">
        <v>79</v>
      </c>
      <c r="D63" s="1" t="s">
        <v>14</v>
      </c>
      <c r="E63" s="1">
        <v>7</v>
      </c>
      <c r="F63" s="2">
        <v>45780</v>
      </c>
      <c r="G63" s="2">
        <v>45781</v>
      </c>
      <c r="H63" s="1">
        <v>3</v>
      </c>
      <c r="I63" s="1">
        <v>8456</v>
      </c>
      <c r="J63" t="str">
        <f>VLOOKUP(E63,Dignosis!$A$1:$B$11,2,)</f>
        <v>Cancer</v>
      </c>
      <c r="K63" t="str">
        <f>VLOOKUP(H63,patients!$A$1:$B$4,2,)</f>
        <v>Gina Alexander</v>
      </c>
      <c r="L63">
        <f t="shared" si="0"/>
        <v>1</v>
      </c>
      <c r="M63" t="str">
        <f>IF(VLOOKUP(A63,labs!A63:E262,3,FALSE)&gt;120,"high",)</f>
        <v>high</v>
      </c>
      <c r="N63" t="str">
        <f t="shared" si="1"/>
        <v>low risk</v>
      </c>
    </row>
    <row r="64" spans="1:14" x14ac:dyDescent="0.25">
      <c r="A64" s="1">
        <v>63</v>
      </c>
      <c r="B64" s="1" t="s">
        <v>73</v>
      </c>
      <c r="C64" s="1">
        <v>87</v>
      </c>
      <c r="D64" s="1" t="s">
        <v>14</v>
      </c>
      <c r="E64" s="1">
        <v>2</v>
      </c>
      <c r="F64" s="2">
        <v>45710</v>
      </c>
      <c r="G64" s="2">
        <v>45716</v>
      </c>
      <c r="H64" s="1">
        <v>1</v>
      </c>
      <c r="I64" s="1">
        <v>6212</v>
      </c>
      <c r="J64" t="str">
        <f>VLOOKUP(E64,Dignosis!$A$1:$B$11,2,)</f>
        <v>Diabetes</v>
      </c>
      <c r="K64" t="str">
        <f>VLOOKUP(H64,patients!$A$1:$B$4,2,)</f>
        <v>Edward Montes</v>
      </c>
      <c r="L64">
        <f t="shared" si="0"/>
        <v>6</v>
      </c>
      <c r="M64" t="str">
        <f>IF(VLOOKUP(A64,labs!A64:E263,3,FALSE)&gt;120,"high",)</f>
        <v>high</v>
      </c>
      <c r="N64" t="str">
        <f t="shared" si="1"/>
        <v>low risk</v>
      </c>
    </row>
    <row r="65" spans="1:14" x14ac:dyDescent="0.25">
      <c r="A65" s="1">
        <v>64</v>
      </c>
      <c r="B65" s="1" t="s">
        <v>74</v>
      </c>
      <c r="C65" s="1">
        <v>38</v>
      </c>
      <c r="D65" s="1" t="s">
        <v>14</v>
      </c>
      <c r="E65" s="1">
        <v>10</v>
      </c>
      <c r="F65" s="2">
        <v>45808</v>
      </c>
      <c r="G65" s="2">
        <v>45811</v>
      </c>
      <c r="H65" s="1">
        <v>2</v>
      </c>
      <c r="I65" s="1">
        <v>9833</v>
      </c>
      <c r="J65" t="str">
        <f>VLOOKUP(E65,Dignosis!$A$1:$B$11,2,)</f>
        <v>Liver Disease</v>
      </c>
      <c r="K65" t="str">
        <f>VLOOKUP(H65,patients!$A$1:$B$4,2,)</f>
        <v>Jessica Zimmerman</v>
      </c>
      <c r="L65">
        <f t="shared" si="0"/>
        <v>3</v>
      </c>
      <c r="M65" t="str">
        <f>IF(VLOOKUP(A65,labs!A65:E264,3,FALSE)&gt;120,"high",)</f>
        <v>high</v>
      </c>
      <c r="N65" t="str">
        <f t="shared" si="1"/>
        <v>high risk</v>
      </c>
    </row>
    <row r="66" spans="1:14" x14ac:dyDescent="0.25">
      <c r="A66" s="1">
        <v>65</v>
      </c>
      <c r="B66" s="1" t="s">
        <v>75</v>
      </c>
      <c r="C66" s="1">
        <v>55</v>
      </c>
      <c r="D66" s="1" t="s">
        <v>10</v>
      </c>
      <c r="E66" s="1">
        <v>2</v>
      </c>
      <c r="F66" s="2">
        <v>45801</v>
      </c>
      <c r="G66" s="2">
        <v>45808</v>
      </c>
      <c r="H66" s="1">
        <v>2</v>
      </c>
      <c r="I66" s="1">
        <v>7032</v>
      </c>
      <c r="J66" t="str">
        <f>VLOOKUP(E66,Dignosis!$A$1:$B$11,2,)</f>
        <v>Diabetes</v>
      </c>
      <c r="K66" t="str">
        <f>VLOOKUP(H66,patients!$A$1:$B$4,2,)</f>
        <v>Jessica Zimmerman</v>
      </c>
      <c r="L66">
        <f t="shared" si="0"/>
        <v>7</v>
      </c>
      <c r="M66" t="str">
        <f>IF(VLOOKUP(A66,labs!A66:E265,3,FALSE)&gt;120,"high",)</f>
        <v>high</v>
      </c>
      <c r="N66" t="str">
        <f t="shared" si="1"/>
        <v>high risk</v>
      </c>
    </row>
    <row r="67" spans="1:14" x14ac:dyDescent="0.25">
      <c r="A67" s="1">
        <v>66</v>
      </c>
      <c r="B67" s="1" t="s">
        <v>76</v>
      </c>
      <c r="C67" s="1">
        <v>82</v>
      </c>
      <c r="D67" s="1" t="s">
        <v>14</v>
      </c>
      <c r="E67" s="1">
        <v>10</v>
      </c>
      <c r="F67" s="2">
        <v>45714</v>
      </c>
      <c r="G67" s="2">
        <v>45720</v>
      </c>
      <c r="H67" s="1">
        <v>2</v>
      </c>
      <c r="I67" s="1">
        <v>9970</v>
      </c>
      <c r="J67" t="str">
        <f>VLOOKUP(E67,Dignosis!$A$1:$B$11,2,)</f>
        <v>Liver Disease</v>
      </c>
      <c r="K67" t="str">
        <f>VLOOKUP(H67,patients!$A$1:$B$4,2,)</f>
        <v>Jessica Zimmerman</v>
      </c>
      <c r="L67">
        <f t="shared" ref="L67:L130" si="2">_xlfn.DAYS(G67,F67)</f>
        <v>6</v>
      </c>
      <c r="M67" t="str">
        <f>IF(VLOOKUP(A67,labs!A67:E266,3,FALSE)&gt;120,"high",)</f>
        <v>high</v>
      </c>
      <c r="N67" t="str">
        <f t="shared" ref="N67:N130" si="3">IF(OR(C67&lt;65,H67&lt;1),"high risk","low risk")</f>
        <v>low risk</v>
      </c>
    </row>
    <row r="68" spans="1:14" x14ac:dyDescent="0.25">
      <c r="A68" s="1">
        <v>67</v>
      </c>
      <c r="B68" s="1" t="s">
        <v>77</v>
      </c>
      <c r="C68" s="1">
        <v>31</v>
      </c>
      <c r="D68" s="1" t="s">
        <v>10</v>
      </c>
      <c r="E68" s="1">
        <v>1</v>
      </c>
      <c r="F68" s="2">
        <v>45696</v>
      </c>
      <c r="G68" s="2">
        <v>45745</v>
      </c>
      <c r="H68" s="1">
        <v>1</v>
      </c>
      <c r="I68" s="1">
        <v>2574</v>
      </c>
      <c r="J68" t="str">
        <f>VLOOKUP(E68,Dignosis!$A$1:$B$11,2,)</f>
        <v>Hypertension</v>
      </c>
      <c r="K68" t="str">
        <f>VLOOKUP(H68,patients!$A$1:$B$4,2,)</f>
        <v>Edward Montes</v>
      </c>
      <c r="L68">
        <f t="shared" si="2"/>
        <v>49</v>
      </c>
      <c r="M68" t="str">
        <f>IF(VLOOKUP(A68,labs!A68:E267,3,FALSE)&gt;120,"high",)</f>
        <v>high</v>
      </c>
      <c r="N68" t="str">
        <f t="shared" si="3"/>
        <v>high risk</v>
      </c>
    </row>
    <row r="69" spans="1:14" x14ac:dyDescent="0.25">
      <c r="A69" s="1">
        <v>68</v>
      </c>
      <c r="B69" s="1" t="s">
        <v>78</v>
      </c>
      <c r="C69" s="1">
        <v>49</v>
      </c>
      <c r="D69" s="1" t="s">
        <v>10</v>
      </c>
      <c r="E69" s="1">
        <v>8</v>
      </c>
      <c r="F69" s="2">
        <v>45766</v>
      </c>
      <c r="G69" s="2">
        <v>45771</v>
      </c>
      <c r="H69" s="1">
        <v>3</v>
      </c>
      <c r="I69" s="1">
        <v>8387</v>
      </c>
      <c r="J69" t="str">
        <f>VLOOKUP(E69,Dignosis!$A$1:$B$11,2,)</f>
        <v>Arthritis</v>
      </c>
      <c r="K69" t="str">
        <f>VLOOKUP(H69,patients!$A$1:$B$4,2,)</f>
        <v>Gina Alexander</v>
      </c>
      <c r="L69">
        <f t="shared" si="2"/>
        <v>5</v>
      </c>
      <c r="M69" t="str">
        <f>IF(VLOOKUP(A69,labs!A69:E268,3,FALSE)&gt;120,"high",)</f>
        <v>high</v>
      </c>
      <c r="N69" t="str">
        <f t="shared" si="3"/>
        <v>high risk</v>
      </c>
    </row>
    <row r="70" spans="1:14" x14ac:dyDescent="0.25">
      <c r="A70" s="1">
        <v>69</v>
      </c>
      <c r="B70" s="1" t="s">
        <v>79</v>
      </c>
      <c r="C70" s="1">
        <v>57</v>
      </c>
      <c r="D70" s="1" t="s">
        <v>10</v>
      </c>
      <c r="E70" s="1">
        <v>1</v>
      </c>
      <c r="F70" s="2">
        <v>45838</v>
      </c>
      <c r="G70" s="2">
        <v>45845</v>
      </c>
      <c r="H70" s="1">
        <v>2</v>
      </c>
      <c r="I70" s="1">
        <v>2536</v>
      </c>
      <c r="J70" t="str">
        <f>VLOOKUP(E70,Dignosis!$A$1:$B$11,2,)</f>
        <v>Hypertension</v>
      </c>
      <c r="K70" t="str">
        <f>VLOOKUP(H70,patients!$A$1:$B$4,2,)</f>
        <v>Jessica Zimmerman</v>
      </c>
      <c r="L70">
        <f t="shared" si="2"/>
        <v>7</v>
      </c>
      <c r="M70" t="str">
        <f>IF(VLOOKUP(A70,labs!A70:E269,3,FALSE)&gt;120,"high",)</f>
        <v>high</v>
      </c>
      <c r="N70" t="str">
        <f t="shared" si="3"/>
        <v>high risk</v>
      </c>
    </row>
    <row r="71" spans="1:14" x14ac:dyDescent="0.25">
      <c r="A71" s="1">
        <v>70</v>
      </c>
      <c r="B71" s="1" t="s">
        <v>80</v>
      </c>
      <c r="C71" s="1">
        <v>76</v>
      </c>
      <c r="D71" s="1" t="s">
        <v>10</v>
      </c>
      <c r="E71" s="1">
        <v>9</v>
      </c>
      <c r="F71" s="2">
        <v>45699</v>
      </c>
      <c r="G71" s="2">
        <v>45718</v>
      </c>
      <c r="H71" s="1">
        <v>2</v>
      </c>
      <c r="I71" s="1">
        <v>3625</v>
      </c>
      <c r="J71" t="str">
        <f>VLOOKUP(E71,Dignosis!$A$1:$B$11,2,)</f>
        <v>Kidney Disease</v>
      </c>
      <c r="K71" t="str">
        <f>VLOOKUP(H71,patients!$A$1:$B$4,2,)</f>
        <v>Jessica Zimmerman</v>
      </c>
      <c r="L71">
        <f t="shared" si="2"/>
        <v>19</v>
      </c>
      <c r="M71" t="str">
        <f>IF(VLOOKUP(A71,labs!A71:E270,3,FALSE)&gt;120,"high",)</f>
        <v>high</v>
      </c>
      <c r="N71" t="str">
        <f t="shared" si="3"/>
        <v>low risk</v>
      </c>
    </row>
    <row r="72" spans="1:14" x14ac:dyDescent="0.25">
      <c r="A72" s="1">
        <v>71</v>
      </c>
      <c r="B72" s="1" t="s">
        <v>81</v>
      </c>
      <c r="C72" s="1">
        <v>89</v>
      </c>
      <c r="D72" s="1" t="s">
        <v>14</v>
      </c>
      <c r="E72" s="1">
        <v>6</v>
      </c>
      <c r="F72" s="2">
        <v>45824</v>
      </c>
      <c r="G72" s="2">
        <v>45832</v>
      </c>
      <c r="H72" s="1">
        <v>1</v>
      </c>
      <c r="I72" s="1">
        <v>4122</v>
      </c>
      <c r="J72" t="str">
        <f>VLOOKUP(E72,Dignosis!$A$1:$B$11,2,)</f>
        <v>COPD</v>
      </c>
      <c r="K72" t="str">
        <f>VLOOKUP(H72,patients!$A$1:$B$4,2,)</f>
        <v>Edward Montes</v>
      </c>
      <c r="L72">
        <f t="shared" si="2"/>
        <v>8</v>
      </c>
      <c r="M72" t="str">
        <f>IF(VLOOKUP(A72,labs!A72:E271,3,FALSE)&gt;120,"high",)</f>
        <v>high</v>
      </c>
      <c r="N72" t="str">
        <f t="shared" si="3"/>
        <v>low risk</v>
      </c>
    </row>
    <row r="73" spans="1:14" x14ac:dyDescent="0.25">
      <c r="A73" s="1">
        <v>72</v>
      </c>
      <c r="B73" s="1" t="s">
        <v>82</v>
      </c>
      <c r="C73" s="1">
        <v>36</v>
      </c>
      <c r="D73" s="1" t="s">
        <v>10</v>
      </c>
      <c r="E73" s="1">
        <v>7</v>
      </c>
      <c r="F73" s="2">
        <v>45799</v>
      </c>
      <c r="G73" s="2">
        <v>45802</v>
      </c>
      <c r="H73" s="1">
        <v>2</v>
      </c>
      <c r="I73" s="1">
        <v>9973</v>
      </c>
      <c r="J73" t="str">
        <f>VLOOKUP(E73,Dignosis!$A$1:$B$11,2,)</f>
        <v>Cancer</v>
      </c>
      <c r="K73" t="str">
        <f>VLOOKUP(H73,patients!$A$1:$B$4,2,)</f>
        <v>Jessica Zimmerman</v>
      </c>
      <c r="L73">
        <f t="shared" si="2"/>
        <v>3</v>
      </c>
      <c r="M73" t="str">
        <f>IF(VLOOKUP(A73,labs!A73:E272,3,FALSE)&gt;120,"high",)</f>
        <v>high</v>
      </c>
      <c r="N73" t="str">
        <f t="shared" si="3"/>
        <v>high risk</v>
      </c>
    </row>
    <row r="74" spans="1:14" x14ac:dyDescent="0.25">
      <c r="A74" s="1">
        <v>73</v>
      </c>
      <c r="B74" s="1" t="s">
        <v>83</v>
      </c>
      <c r="C74" s="1">
        <v>73</v>
      </c>
      <c r="D74" s="1" t="s">
        <v>10</v>
      </c>
      <c r="E74" s="1">
        <v>10</v>
      </c>
      <c r="F74" s="2">
        <v>45779</v>
      </c>
      <c r="G74" s="2">
        <v>45783</v>
      </c>
      <c r="H74" s="1">
        <v>1</v>
      </c>
      <c r="I74" s="1">
        <v>2385</v>
      </c>
      <c r="J74" t="str">
        <f>VLOOKUP(E74,Dignosis!$A$1:$B$11,2,)</f>
        <v>Liver Disease</v>
      </c>
      <c r="K74" t="str">
        <f>VLOOKUP(H74,patients!$A$1:$B$4,2,)</f>
        <v>Edward Montes</v>
      </c>
      <c r="L74">
        <f t="shared" si="2"/>
        <v>4</v>
      </c>
      <c r="M74" t="str">
        <f>IF(VLOOKUP(A74,labs!A74:E273,3,FALSE)&gt;120,"high",)</f>
        <v>high</v>
      </c>
      <c r="N74" t="str">
        <f t="shared" si="3"/>
        <v>low risk</v>
      </c>
    </row>
    <row r="75" spans="1:14" x14ac:dyDescent="0.25">
      <c r="A75" s="1">
        <v>74</v>
      </c>
      <c r="B75" s="1" t="s">
        <v>84</v>
      </c>
      <c r="C75" s="1">
        <v>37</v>
      </c>
      <c r="D75" s="1" t="s">
        <v>10</v>
      </c>
      <c r="E75" s="1">
        <v>7</v>
      </c>
      <c r="F75" s="2">
        <v>45790</v>
      </c>
      <c r="G75" s="2">
        <v>45796</v>
      </c>
      <c r="H75" s="1">
        <v>3</v>
      </c>
      <c r="I75" s="1">
        <v>5281</v>
      </c>
      <c r="J75" t="str">
        <f>VLOOKUP(E75,Dignosis!$A$1:$B$11,2,)</f>
        <v>Cancer</v>
      </c>
      <c r="K75" t="str">
        <f>VLOOKUP(H75,patients!$A$1:$B$4,2,)</f>
        <v>Gina Alexander</v>
      </c>
      <c r="L75">
        <f t="shared" si="2"/>
        <v>6</v>
      </c>
      <c r="M75" t="str">
        <f>IF(VLOOKUP(A75,labs!A75:E274,3,FALSE)&gt;120,"high",)</f>
        <v>high</v>
      </c>
      <c r="N75" t="str">
        <f t="shared" si="3"/>
        <v>high risk</v>
      </c>
    </row>
    <row r="76" spans="1:14" x14ac:dyDescent="0.25">
      <c r="A76" s="1">
        <v>75</v>
      </c>
      <c r="B76" s="1" t="s">
        <v>85</v>
      </c>
      <c r="C76" s="1">
        <v>76</v>
      </c>
      <c r="D76" s="1" t="s">
        <v>14</v>
      </c>
      <c r="E76" s="1">
        <v>10</v>
      </c>
      <c r="F76" s="2">
        <v>45820</v>
      </c>
      <c r="G76" s="2">
        <v>45822</v>
      </c>
      <c r="H76" s="1">
        <v>1</v>
      </c>
      <c r="I76" s="1">
        <v>2474</v>
      </c>
      <c r="J76" t="str">
        <f>VLOOKUP(E76,Dignosis!$A$1:$B$11,2,)</f>
        <v>Liver Disease</v>
      </c>
      <c r="K76" t="str">
        <f>VLOOKUP(H76,patients!$A$1:$B$4,2,)</f>
        <v>Edward Montes</v>
      </c>
      <c r="L76">
        <f t="shared" si="2"/>
        <v>2</v>
      </c>
      <c r="M76" t="str">
        <f>IF(VLOOKUP(A76,labs!A76:E275,3,FALSE)&gt;120,"high",)</f>
        <v>high</v>
      </c>
      <c r="N76" t="str">
        <f t="shared" si="3"/>
        <v>low risk</v>
      </c>
    </row>
    <row r="77" spans="1:14" x14ac:dyDescent="0.25">
      <c r="A77" s="1">
        <v>76</v>
      </c>
      <c r="B77" s="1" t="s">
        <v>86</v>
      </c>
      <c r="C77" s="1">
        <v>64</v>
      </c>
      <c r="D77" s="1" t="s">
        <v>14</v>
      </c>
      <c r="E77" s="1">
        <v>3</v>
      </c>
      <c r="F77" s="2">
        <v>45732</v>
      </c>
      <c r="G77" s="2">
        <v>45747</v>
      </c>
      <c r="H77" s="1">
        <v>1</v>
      </c>
      <c r="I77" s="1">
        <v>2417</v>
      </c>
      <c r="J77" t="str">
        <f>VLOOKUP(E77,Dignosis!$A$1:$B$11,2,)</f>
        <v>Heart Disease</v>
      </c>
      <c r="K77" t="str">
        <f>VLOOKUP(H77,patients!$A$1:$B$4,2,)</f>
        <v>Edward Montes</v>
      </c>
      <c r="L77">
        <f t="shared" si="2"/>
        <v>15</v>
      </c>
      <c r="M77" t="str">
        <f>IF(VLOOKUP(A77,labs!A77:E276,3,FALSE)&gt;120,"high",)</f>
        <v>high</v>
      </c>
      <c r="N77" t="str">
        <f t="shared" si="3"/>
        <v>high risk</v>
      </c>
    </row>
    <row r="78" spans="1:14" x14ac:dyDescent="0.25">
      <c r="A78" s="1">
        <v>77</v>
      </c>
      <c r="B78" s="1" t="s">
        <v>87</v>
      </c>
      <c r="C78" s="1">
        <v>43</v>
      </c>
      <c r="D78" s="1" t="s">
        <v>14</v>
      </c>
      <c r="E78" s="1">
        <v>2</v>
      </c>
      <c r="F78" s="2">
        <v>45803</v>
      </c>
      <c r="G78" s="2">
        <v>45805</v>
      </c>
      <c r="H78" s="1">
        <v>1</v>
      </c>
      <c r="I78" s="1">
        <v>8490</v>
      </c>
      <c r="J78" t="str">
        <f>VLOOKUP(E78,Dignosis!$A$1:$B$11,2,)</f>
        <v>Diabetes</v>
      </c>
      <c r="K78" t="str">
        <f>VLOOKUP(H78,patients!$A$1:$B$4,2,)</f>
        <v>Edward Montes</v>
      </c>
      <c r="L78">
        <f t="shared" si="2"/>
        <v>2</v>
      </c>
      <c r="M78" t="str">
        <f>IF(VLOOKUP(A78,labs!A78:E277,3,FALSE)&gt;120,"high",)</f>
        <v>high</v>
      </c>
      <c r="N78" t="str">
        <f t="shared" si="3"/>
        <v>high risk</v>
      </c>
    </row>
    <row r="79" spans="1:14" x14ac:dyDescent="0.25">
      <c r="A79" s="1">
        <v>78</v>
      </c>
      <c r="B79" s="1" t="s">
        <v>88</v>
      </c>
      <c r="C79" s="1">
        <v>46</v>
      </c>
      <c r="D79" s="1" t="s">
        <v>14</v>
      </c>
      <c r="E79" s="1">
        <v>9</v>
      </c>
      <c r="F79" s="2">
        <v>45733</v>
      </c>
      <c r="G79" s="2">
        <v>45740</v>
      </c>
      <c r="H79" s="1">
        <v>1</v>
      </c>
      <c r="I79" s="1">
        <v>5600</v>
      </c>
      <c r="J79" t="str">
        <f>VLOOKUP(E79,Dignosis!$A$1:$B$11,2,)</f>
        <v>Kidney Disease</v>
      </c>
      <c r="K79" t="str">
        <f>VLOOKUP(H79,patients!$A$1:$B$4,2,)</f>
        <v>Edward Montes</v>
      </c>
      <c r="L79">
        <f t="shared" si="2"/>
        <v>7</v>
      </c>
      <c r="M79" t="str">
        <f>IF(VLOOKUP(A79,labs!A79:E278,3,FALSE)&gt;120,"high",)</f>
        <v>high</v>
      </c>
      <c r="N79" t="str">
        <f t="shared" si="3"/>
        <v>high risk</v>
      </c>
    </row>
    <row r="80" spans="1:14" x14ac:dyDescent="0.25">
      <c r="A80" s="1">
        <v>79</v>
      </c>
      <c r="B80" s="1" t="s">
        <v>89</v>
      </c>
      <c r="C80" s="1">
        <v>65</v>
      </c>
      <c r="D80" s="1" t="s">
        <v>10</v>
      </c>
      <c r="E80" s="1">
        <v>8</v>
      </c>
      <c r="F80" s="2">
        <v>45666</v>
      </c>
      <c r="G80" s="2">
        <v>45798</v>
      </c>
      <c r="H80" s="1">
        <v>3</v>
      </c>
      <c r="I80" s="1">
        <v>8783</v>
      </c>
      <c r="J80" t="str">
        <f>VLOOKUP(E80,Dignosis!$A$1:$B$11,2,)</f>
        <v>Arthritis</v>
      </c>
      <c r="K80" t="str">
        <f>VLOOKUP(H80,patients!$A$1:$B$4,2,)</f>
        <v>Gina Alexander</v>
      </c>
      <c r="L80">
        <f t="shared" si="2"/>
        <v>132</v>
      </c>
      <c r="M80" t="str">
        <f>IF(VLOOKUP(A80,labs!A80:E279,3,FALSE)&gt;120,"high",)</f>
        <v>high</v>
      </c>
      <c r="N80" t="str">
        <f t="shared" si="3"/>
        <v>low risk</v>
      </c>
    </row>
    <row r="81" spans="1:14" x14ac:dyDescent="0.25">
      <c r="A81" s="1">
        <v>80</v>
      </c>
      <c r="B81" s="1" t="s">
        <v>90</v>
      </c>
      <c r="C81" s="1">
        <v>79</v>
      </c>
      <c r="D81" s="1" t="s">
        <v>10</v>
      </c>
      <c r="E81" s="1">
        <v>10</v>
      </c>
      <c r="F81" s="2">
        <v>45731</v>
      </c>
      <c r="G81" s="2">
        <v>45804</v>
      </c>
      <c r="H81" s="1">
        <v>3</v>
      </c>
      <c r="I81" s="1">
        <v>7034</v>
      </c>
      <c r="J81" t="str">
        <f>VLOOKUP(E81,Dignosis!$A$1:$B$11,2,)</f>
        <v>Liver Disease</v>
      </c>
      <c r="K81" t="str">
        <f>VLOOKUP(H81,patients!$A$1:$B$4,2,)</f>
        <v>Gina Alexander</v>
      </c>
      <c r="L81">
        <f t="shared" si="2"/>
        <v>73</v>
      </c>
      <c r="M81" t="str">
        <f>IF(VLOOKUP(A81,labs!A81:E280,3,FALSE)&gt;120,"high",)</f>
        <v>high</v>
      </c>
      <c r="N81" t="str">
        <f t="shared" si="3"/>
        <v>low risk</v>
      </c>
    </row>
    <row r="82" spans="1:14" x14ac:dyDescent="0.25">
      <c r="A82" s="1">
        <v>81</v>
      </c>
      <c r="B82" s="1" t="s">
        <v>91</v>
      </c>
      <c r="C82" s="1">
        <v>69</v>
      </c>
      <c r="D82" s="1" t="s">
        <v>14</v>
      </c>
      <c r="E82" s="1">
        <v>7</v>
      </c>
      <c r="F82" s="2">
        <v>45802</v>
      </c>
      <c r="G82" s="2">
        <v>45811</v>
      </c>
      <c r="H82" s="1">
        <v>2</v>
      </c>
      <c r="I82" s="1">
        <v>2954</v>
      </c>
      <c r="J82" t="str">
        <f>VLOOKUP(E82,Dignosis!$A$1:$B$11,2,)</f>
        <v>Cancer</v>
      </c>
      <c r="K82" t="str">
        <f>VLOOKUP(H82,patients!$A$1:$B$4,2,)</f>
        <v>Jessica Zimmerman</v>
      </c>
      <c r="L82">
        <f t="shared" si="2"/>
        <v>9</v>
      </c>
      <c r="M82" t="str">
        <f>IF(VLOOKUP(A82,labs!A82:E281,3,FALSE)&gt;120,"high",)</f>
        <v>high</v>
      </c>
      <c r="N82" t="str">
        <f t="shared" si="3"/>
        <v>low risk</v>
      </c>
    </row>
    <row r="83" spans="1:14" x14ac:dyDescent="0.25">
      <c r="A83" s="1">
        <v>82</v>
      </c>
      <c r="B83" s="1" t="s">
        <v>92</v>
      </c>
      <c r="C83" s="1">
        <v>33</v>
      </c>
      <c r="D83" s="1" t="s">
        <v>10</v>
      </c>
      <c r="E83" s="1">
        <v>9</v>
      </c>
      <c r="F83" s="2">
        <v>45664</v>
      </c>
      <c r="G83" s="2">
        <v>45740</v>
      </c>
      <c r="H83" s="1">
        <v>3</v>
      </c>
      <c r="I83" s="1">
        <v>6971</v>
      </c>
      <c r="J83" t="str">
        <f>VLOOKUP(E83,Dignosis!$A$1:$B$11,2,)</f>
        <v>Kidney Disease</v>
      </c>
      <c r="K83" t="str">
        <f>VLOOKUP(H83,patients!$A$1:$B$4,2,)</f>
        <v>Gina Alexander</v>
      </c>
      <c r="L83">
        <f t="shared" si="2"/>
        <v>76</v>
      </c>
      <c r="M83" t="str">
        <f>IF(VLOOKUP(A83,labs!A83:E282,3,FALSE)&gt;120,"high",)</f>
        <v>high</v>
      </c>
      <c r="N83" t="str">
        <f t="shared" si="3"/>
        <v>high risk</v>
      </c>
    </row>
    <row r="84" spans="1:14" x14ac:dyDescent="0.25">
      <c r="A84" s="1">
        <v>83</v>
      </c>
      <c r="B84" s="1" t="s">
        <v>93</v>
      </c>
      <c r="C84" s="1">
        <v>31</v>
      </c>
      <c r="D84" s="1" t="s">
        <v>10</v>
      </c>
      <c r="E84" s="1">
        <v>4</v>
      </c>
      <c r="F84" s="2">
        <v>45831</v>
      </c>
      <c r="G84" s="2">
        <v>45833</v>
      </c>
      <c r="H84" s="1">
        <v>3</v>
      </c>
      <c r="I84" s="1">
        <v>6858</v>
      </c>
      <c r="J84" t="str">
        <f>VLOOKUP(E84,Dignosis!$A$1:$B$11,2,)</f>
        <v>Asthma</v>
      </c>
      <c r="K84" t="str">
        <f>VLOOKUP(H84,patients!$A$1:$B$4,2,)</f>
        <v>Gina Alexander</v>
      </c>
      <c r="L84">
        <f t="shared" si="2"/>
        <v>2</v>
      </c>
      <c r="M84" t="str">
        <f>IF(VLOOKUP(A84,labs!A84:E283,3,FALSE)&gt;120,"high",)</f>
        <v>high</v>
      </c>
      <c r="N84" t="str">
        <f t="shared" si="3"/>
        <v>high risk</v>
      </c>
    </row>
    <row r="85" spans="1:14" x14ac:dyDescent="0.25">
      <c r="A85" s="1">
        <v>84</v>
      </c>
      <c r="B85" s="1" t="s">
        <v>94</v>
      </c>
      <c r="C85" s="1">
        <v>35</v>
      </c>
      <c r="D85" s="1" t="s">
        <v>10</v>
      </c>
      <c r="E85" s="1">
        <v>4</v>
      </c>
      <c r="F85" s="2">
        <v>45798</v>
      </c>
      <c r="G85" s="2">
        <v>45804</v>
      </c>
      <c r="H85" s="1">
        <v>2</v>
      </c>
      <c r="I85" s="1">
        <v>7298</v>
      </c>
      <c r="J85" t="str">
        <f>VLOOKUP(E85,Dignosis!$A$1:$B$11,2,)</f>
        <v>Asthma</v>
      </c>
      <c r="K85" t="str">
        <f>VLOOKUP(H85,patients!$A$1:$B$4,2,)</f>
        <v>Jessica Zimmerman</v>
      </c>
      <c r="L85">
        <f t="shared" si="2"/>
        <v>6</v>
      </c>
      <c r="M85" t="str">
        <f>IF(VLOOKUP(A85,labs!A85:E284,3,FALSE)&gt;120,"high",)</f>
        <v>high</v>
      </c>
      <c r="N85" t="str">
        <f t="shared" si="3"/>
        <v>high risk</v>
      </c>
    </row>
    <row r="86" spans="1:14" x14ac:dyDescent="0.25">
      <c r="A86" s="1">
        <v>85</v>
      </c>
      <c r="B86" s="1" t="s">
        <v>95</v>
      </c>
      <c r="C86" s="1">
        <v>83</v>
      </c>
      <c r="D86" s="1" t="s">
        <v>14</v>
      </c>
      <c r="E86" s="1">
        <v>1</v>
      </c>
      <c r="F86" s="2">
        <v>45825</v>
      </c>
      <c r="G86" s="2">
        <v>45831</v>
      </c>
      <c r="H86" s="1">
        <v>3</v>
      </c>
      <c r="I86" s="1">
        <v>3205</v>
      </c>
      <c r="J86" t="str">
        <f>VLOOKUP(E86,Dignosis!$A$1:$B$11,2,)</f>
        <v>Hypertension</v>
      </c>
      <c r="K86" t="str">
        <f>VLOOKUP(H86,patients!$A$1:$B$4,2,)</f>
        <v>Gina Alexander</v>
      </c>
      <c r="L86">
        <f t="shared" si="2"/>
        <v>6</v>
      </c>
      <c r="M86" t="str">
        <f>IF(VLOOKUP(A86,labs!A86:E285,3,FALSE)&gt;120,"high",)</f>
        <v>high</v>
      </c>
      <c r="N86" t="str">
        <f t="shared" si="3"/>
        <v>low risk</v>
      </c>
    </row>
    <row r="87" spans="1:14" x14ac:dyDescent="0.25">
      <c r="A87" s="1">
        <v>86</v>
      </c>
      <c r="B87" s="1" t="s">
        <v>96</v>
      </c>
      <c r="C87" s="1">
        <v>71</v>
      </c>
      <c r="D87" s="1" t="s">
        <v>14</v>
      </c>
      <c r="E87" s="1">
        <v>8</v>
      </c>
      <c r="F87" s="2">
        <v>45827</v>
      </c>
      <c r="G87" s="2">
        <v>45837</v>
      </c>
      <c r="H87" s="1">
        <v>1</v>
      </c>
      <c r="I87" s="1">
        <v>6759</v>
      </c>
      <c r="J87" t="str">
        <f>VLOOKUP(E87,Dignosis!$A$1:$B$11,2,)</f>
        <v>Arthritis</v>
      </c>
      <c r="K87" t="str">
        <f>VLOOKUP(H87,patients!$A$1:$B$4,2,)</f>
        <v>Edward Montes</v>
      </c>
      <c r="L87">
        <f t="shared" si="2"/>
        <v>10</v>
      </c>
      <c r="M87" t="str">
        <f>IF(VLOOKUP(A87,labs!A87:E286,3,FALSE)&gt;120,"high",)</f>
        <v>high</v>
      </c>
      <c r="N87" t="str">
        <f t="shared" si="3"/>
        <v>low risk</v>
      </c>
    </row>
    <row r="88" spans="1:14" x14ac:dyDescent="0.25">
      <c r="A88" s="1">
        <v>87</v>
      </c>
      <c r="B88" s="1" t="s">
        <v>97</v>
      </c>
      <c r="C88" s="1">
        <v>33</v>
      </c>
      <c r="D88" s="1" t="s">
        <v>10</v>
      </c>
      <c r="E88" s="1">
        <v>3</v>
      </c>
      <c r="F88" s="2">
        <v>45794</v>
      </c>
      <c r="G88" s="2">
        <v>45799</v>
      </c>
      <c r="H88" s="1">
        <v>1</v>
      </c>
      <c r="I88" s="1">
        <v>6120</v>
      </c>
      <c r="J88" t="str">
        <f>VLOOKUP(E88,Dignosis!$A$1:$B$11,2,)</f>
        <v>Heart Disease</v>
      </c>
      <c r="K88" t="str">
        <f>VLOOKUP(H88,patients!$A$1:$B$4,2,)</f>
        <v>Edward Montes</v>
      </c>
      <c r="L88">
        <f t="shared" si="2"/>
        <v>5</v>
      </c>
      <c r="M88" t="str">
        <f>IF(VLOOKUP(A88,labs!A88:E287,3,FALSE)&gt;120,"high",)</f>
        <v>high</v>
      </c>
      <c r="N88" t="str">
        <f t="shared" si="3"/>
        <v>high risk</v>
      </c>
    </row>
    <row r="89" spans="1:14" x14ac:dyDescent="0.25">
      <c r="A89" s="1">
        <v>88</v>
      </c>
      <c r="B89" s="1" t="s">
        <v>98</v>
      </c>
      <c r="C89" s="1">
        <v>83</v>
      </c>
      <c r="D89" s="1" t="s">
        <v>14</v>
      </c>
      <c r="E89" s="1">
        <v>7</v>
      </c>
      <c r="F89" s="2">
        <v>45835</v>
      </c>
      <c r="G89" s="2">
        <v>45836</v>
      </c>
      <c r="H89" s="1">
        <v>2</v>
      </c>
      <c r="I89" s="1">
        <v>3990</v>
      </c>
      <c r="J89" t="str">
        <f>VLOOKUP(E89,Dignosis!$A$1:$B$11,2,)</f>
        <v>Cancer</v>
      </c>
      <c r="K89" t="str">
        <f>VLOOKUP(H89,patients!$A$1:$B$4,2,)</f>
        <v>Jessica Zimmerman</v>
      </c>
      <c r="L89">
        <f t="shared" si="2"/>
        <v>1</v>
      </c>
      <c r="M89" t="str">
        <f>IF(VLOOKUP(A89,labs!A89:E288,3,FALSE)&gt;120,"high",)</f>
        <v>high</v>
      </c>
      <c r="N89" t="str">
        <f t="shared" si="3"/>
        <v>low risk</v>
      </c>
    </row>
    <row r="90" spans="1:14" x14ac:dyDescent="0.25">
      <c r="A90" s="1">
        <v>89</v>
      </c>
      <c r="B90" s="1" t="s">
        <v>99</v>
      </c>
      <c r="C90" s="1">
        <v>58</v>
      </c>
      <c r="D90" s="1" t="s">
        <v>14</v>
      </c>
      <c r="E90" s="1">
        <v>2</v>
      </c>
      <c r="F90" s="2">
        <v>45684</v>
      </c>
      <c r="G90" s="2">
        <v>45792</v>
      </c>
      <c r="H90" s="1">
        <v>2</v>
      </c>
      <c r="I90" s="1">
        <v>7299</v>
      </c>
      <c r="J90" t="str">
        <f>VLOOKUP(E90,Dignosis!$A$1:$B$11,2,)</f>
        <v>Diabetes</v>
      </c>
      <c r="K90" t="str">
        <f>VLOOKUP(H90,patients!$A$1:$B$4,2,)</f>
        <v>Jessica Zimmerman</v>
      </c>
      <c r="L90">
        <f t="shared" si="2"/>
        <v>108</v>
      </c>
      <c r="M90" t="str">
        <f>IF(VLOOKUP(A90,labs!A90:E289,3,FALSE)&gt;120,"high",)</f>
        <v>high</v>
      </c>
      <c r="N90" t="str">
        <f t="shared" si="3"/>
        <v>high risk</v>
      </c>
    </row>
    <row r="91" spans="1:14" x14ac:dyDescent="0.25">
      <c r="A91" s="1">
        <v>90</v>
      </c>
      <c r="B91" s="1" t="s">
        <v>100</v>
      </c>
      <c r="C91" s="1">
        <v>47</v>
      </c>
      <c r="D91" s="1" t="s">
        <v>14</v>
      </c>
      <c r="E91" s="1">
        <v>2</v>
      </c>
      <c r="F91" s="2">
        <v>45779</v>
      </c>
      <c r="G91" s="2">
        <v>45787</v>
      </c>
      <c r="H91" s="1">
        <v>2</v>
      </c>
      <c r="I91" s="1">
        <v>6805</v>
      </c>
      <c r="J91" t="str">
        <f>VLOOKUP(E91,Dignosis!$A$1:$B$11,2,)</f>
        <v>Diabetes</v>
      </c>
      <c r="K91" t="str">
        <f>VLOOKUP(H91,patients!$A$1:$B$4,2,)</f>
        <v>Jessica Zimmerman</v>
      </c>
      <c r="L91">
        <f t="shared" si="2"/>
        <v>8</v>
      </c>
      <c r="M91" t="str">
        <f>IF(VLOOKUP(A91,labs!A91:E290,3,FALSE)&gt;120,"high",)</f>
        <v>high</v>
      </c>
      <c r="N91" t="str">
        <f t="shared" si="3"/>
        <v>high risk</v>
      </c>
    </row>
    <row r="92" spans="1:14" x14ac:dyDescent="0.25">
      <c r="A92" s="1">
        <v>91</v>
      </c>
      <c r="B92" s="1" t="s">
        <v>101</v>
      </c>
      <c r="C92" s="1">
        <v>55</v>
      </c>
      <c r="D92" s="1" t="s">
        <v>14</v>
      </c>
      <c r="E92" s="1">
        <v>7</v>
      </c>
      <c r="F92" s="2">
        <v>45662</v>
      </c>
      <c r="G92" s="2">
        <v>45781</v>
      </c>
      <c r="H92" s="1">
        <v>1</v>
      </c>
      <c r="I92" s="1">
        <v>5572</v>
      </c>
      <c r="J92" t="str">
        <f>VLOOKUP(E92,Dignosis!$A$1:$B$11,2,)</f>
        <v>Cancer</v>
      </c>
      <c r="K92" t="str">
        <f>VLOOKUP(H92,patients!$A$1:$B$4,2,)</f>
        <v>Edward Montes</v>
      </c>
      <c r="L92">
        <f t="shared" si="2"/>
        <v>119</v>
      </c>
      <c r="M92" t="str">
        <f>IF(VLOOKUP(A92,labs!A92:E291,3,FALSE)&gt;120,"high",)</f>
        <v>high</v>
      </c>
      <c r="N92" t="str">
        <f t="shared" si="3"/>
        <v>high risk</v>
      </c>
    </row>
    <row r="93" spans="1:14" x14ac:dyDescent="0.25">
      <c r="A93" s="1">
        <v>92</v>
      </c>
      <c r="B93" s="1" t="s">
        <v>102</v>
      </c>
      <c r="C93" s="1">
        <v>73</v>
      </c>
      <c r="D93" s="1" t="s">
        <v>14</v>
      </c>
      <c r="E93" s="1">
        <v>6</v>
      </c>
      <c r="F93" s="2">
        <v>45686</v>
      </c>
      <c r="G93" s="2">
        <v>45777</v>
      </c>
      <c r="H93" s="1">
        <v>3</v>
      </c>
      <c r="I93" s="1">
        <v>7975</v>
      </c>
      <c r="J93" t="str">
        <f>VLOOKUP(E93,Dignosis!$A$1:$B$11,2,)</f>
        <v>COPD</v>
      </c>
      <c r="K93" t="str">
        <f>VLOOKUP(H93,patients!$A$1:$B$4,2,)</f>
        <v>Gina Alexander</v>
      </c>
      <c r="L93">
        <f t="shared" si="2"/>
        <v>91</v>
      </c>
      <c r="M93" t="str">
        <f>IF(VLOOKUP(A93,labs!A93:E292,3,FALSE)&gt;120,"high",)</f>
        <v>high</v>
      </c>
      <c r="N93" t="str">
        <f t="shared" si="3"/>
        <v>low risk</v>
      </c>
    </row>
    <row r="94" spans="1:14" x14ac:dyDescent="0.25">
      <c r="A94" s="1">
        <v>93</v>
      </c>
      <c r="B94" s="1" t="s">
        <v>103</v>
      </c>
      <c r="C94" s="1">
        <v>63</v>
      </c>
      <c r="D94" s="1" t="s">
        <v>10</v>
      </c>
      <c r="E94" s="1">
        <v>3</v>
      </c>
      <c r="F94" s="2">
        <v>45822</v>
      </c>
      <c r="G94" s="2">
        <v>45831</v>
      </c>
      <c r="H94" s="1">
        <v>1</v>
      </c>
      <c r="I94" s="1">
        <v>7280</v>
      </c>
      <c r="J94" t="str">
        <f>VLOOKUP(E94,Dignosis!$A$1:$B$11,2,)</f>
        <v>Heart Disease</v>
      </c>
      <c r="K94" t="str">
        <f>VLOOKUP(H94,patients!$A$1:$B$4,2,)</f>
        <v>Edward Montes</v>
      </c>
      <c r="L94">
        <f t="shared" si="2"/>
        <v>9</v>
      </c>
      <c r="M94" t="str">
        <f>IF(VLOOKUP(A94,labs!A94:E293,3,FALSE)&gt;120,"high",)</f>
        <v>high</v>
      </c>
      <c r="N94" t="str">
        <f t="shared" si="3"/>
        <v>high risk</v>
      </c>
    </row>
    <row r="95" spans="1:14" x14ac:dyDescent="0.25">
      <c r="A95" s="1">
        <v>94</v>
      </c>
      <c r="B95" s="1" t="s">
        <v>104</v>
      </c>
      <c r="C95" s="1">
        <v>39</v>
      </c>
      <c r="D95" s="1" t="s">
        <v>14</v>
      </c>
      <c r="E95" s="1">
        <v>9</v>
      </c>
      <c r="F95" s="2">
        <v>45823</v>
      </c>
      <c r="G95" s="2">
        <v>45825</v>
      </c>
      <c r="H95" s="1">
        <v>2</v>
      </c>
      <c r="I95" s="1">
        <v>8320</v>
      </c>
      <c r="J95" t="str">
        <f>VLOOKUP(E95,Dignosis!$A$1:$B$11,2,)</f>
        <v>Kidney Disease</v>
      </c>
      <c r="K95" t="str">
        <f>VLOOKUP(H95,patients!$A$1:$B$4,2,)</f>
        <v>Jessica Zimmerman</v>
      </c>
      <c r="L95">
        <f t="shared" si="2"/>
        <v>2</v>
      </c>
      <c r="M95" t="str">
        <f>IF(VLOOKUP(A95,labs!A95:E294,3,FALSE)&gt;120,"high",)</f>
        <v>high</v>
      </c>
      <c r="N95" t="str">
        <f t="shared" si="3"/>
        <v>high risk</v>
      </c>
    </row>
    <row r="96" spans="1:14" x14ac:dyDescent="0.25">
      <c r="A96" s="1">
        <v>95</v>
      </c>
      <c r="B96" s="1" t="s">
        <v>105</v>
      </c>
      <c r="C96" s="1">
        <v>65</v>
      </c>
      <c r="D96" s="1" t="s">
        <v>10</v>
      </c>
      <c r="E96" s="1">
        <v>10</v>
      </c>
      <c r="F96" s="2">
        <v>45740</v>
      </c>
      <c r="G96" s="2">
        <v>45761</v>
      </c>
      <c r="H96" s="1">
        <v>3</v>
      </c>
      <c r="I96" s="1">
        <v>6380</v>
      </c>
      <c r="J96" t="str">
        <f>VLOOKUP(E96,Dignosis!$A$1:$B$11,2,)</f>
        <v>Liver Disease</v>
      </c>
      <c r="K96" t="str">
        <f>VLOOKUP(H96,patients!$A$1:$B$4,2,)</f>
        <v>Gina Alexander</v>
      </c>
      <c r="L96">
        <f t="shared" si="2"/>
        <v>21</v>
      </c>
      <c r="M96" t="str">
        <f>IF(VLOOKUP(A96,labs!A96:E295,3,FALSE)&gt;120,"high",)</f>
        <v>high</v>
      </c>
      <c r="N96" t="str">
        <f t="shared" si="3"/>
        <v>low risk</v>
      </c>
    </row>
    <row r="97" spans="1:14" x14ac:dyDescent="0.25">
      <c r="A97" s="1">
        <v>96</v>
      </c>
      <c r="B97" s="1" t="s">
        <v>106</v>
      </c>
      <c r="C97" s="1">
        <v>43</v>
      </c>
      <c r="D97" s="1" t="s">
        <v>10</v>
      </c>
      <c r="E97" s="1">
        <v>6</v>
      </c>
      <c r="F97" s="2">
        <v>45793</v>
      </c>
      <c r="G97" s="2">
        <v>45800</v>
      </c>
      <c r="H97" s="1">
        <v>3</v>
      </c>
      <c r="I97" s="1">
        <v>6158</v>
      </c>
      <c r="J97" t="str">
        <f>VLOOKUP(E97,Dignosis!$A$1:$B$11,2,)</f>
        <v>COPD</v>
      </c>
      <c r="K97" t="str">
        <f>VLOOKUP(H97,patients!$A$1:$B$4,2,)</f>
        <v>Gina Alexander</v>
      </c>
      <c r="L97">
        <f t="shared" si="2"/>
        <v>7</v>
      </c>
      <c r="M97" t="str">
        <f>IF(VLOOKUP(A97,labs!A97:E296,3,FALSE)&gt;120,"high",)</f>
        <v>high</v>
      </c>
      <c r="N97" t="str">
        <f t="shared" si="3"/>
        <v>high risk</v>
      </c>
    </row>
    <row r="98" spans="1:14" x14ac:dyDescent="0.25">
      <c r="A98" s="1">
        <v>97</v>
      </c>
      <c r="B98" s="1" t="s">
        <v>107</v>
      </c>
      <c r="C98" s="1">
        <v>60</v>
      </c>
      <c r="D98" s="1" t="s">
        <v>14</v>
      </c>
      <c r="E98" s="1">
        <v>10</v>
      </c>
      <c r="F98" s="2">
        <v>45766</v>
      </c>
      <c r="G98" s="2">
        <v>45810</v>
      </c>
      <c r="H98" s="1">
        <v>1</v>
      </c>
      <c r="I98" s="1">
        <v>7098</v>
      </c>
      <c r="J98" t="str">
        <f>VLOOKUP(E98,Dignosis!$A$1:$B$11,2,)</f>
        <v>Liver Disease</v>
      </c>
      <c r="K98" t="str">
        <f>VLOOKUP(H98,patients!$A$1:$B$4,2,)</f>
        <v>Edward Montes</v>
      </c>
      <c r="L98">
        <f t="shared" si="2"/>
        <v>44</v>
      </c>
      <c r="M98" t="str">
        <f>IF(VLOOKUP(A98,labs!A98:E297,3,FALSE)&gt;120,"high",)</f>
        <v>high</v>
      </c>
      <c r="N98" t="str">
        <f t="shared" si="3"/>
        <v>high risk</v>
      </c>
    </row>
    <row r="99" spans="1:14" x14ac:dyDescent="0.25">
      <c r="A99" s="1">
        <v>98</v>
      </c>
      <c r="B99" s="1" t="s">
        <v>108</v>
      </c>
      <c r="C99" s="1">
        <v>77</v>
      </c>
      <c r="D99" s="1" t="s">
        <v>10</v>
      </c>
      <c r="E99" s="1">
        <v>10</v>
      </c>
      <c r="F99" s="2">
        <v>45722</v>
      </c>
      <c r="G99" s="2">
        <v>45724</v>
      </c>
      <c r="H99" s="1">
        <v>2</v>
      </c>
      <c r="I99" s="1">
        <v>6757</v>
      </c>
      <c r="J99" t="str">
        <f>VLOOKUP(E99,Dignosis!$A$1:$B$11,2,)</f>
        <v>Liver Disease</v>
      </c>
      <c r="K99" t="str">
        <f>VLOOKUP(H99,patients!$A$1:$B$4,2,)</f>
        <v>Jessica Zimmerman</v>
      </c>
      <c r="L99">
        <f t="shared" si="2"/>
        <v>2</v>
      </c>
      <c r="M99" t="str">
        <f>IF(VLOOKUP(A99,labs!A99:E298,3,FALSE)&gt;120,"high",)</f>
        <v>high</v>
      </c>
      <c r="N99" t="str">
        <f t="shared" si="3"/>
        <v>low risk</v>
      </c>
    </row>
    <row r="100" spans="1:14" x14ac:dyDescent="0.25">
      <c r="A100" s="1">
        <v>99</v>
      </c>
      <c r="B100" s="1" t="s">
        <v>109</v>
      </c>
      <c r="C100" s="1">
        <v>44</v>
      </c>
      <c r="D100" s="1" t="s">
        <v>10</v>
      </c>
      <c r="E100" s="1">
        <v>6</v>
      </c>
      <c r="F100" s="2">
        <v>45743</v>
      </c>
      <c r="G100" s="2">
        <v>45798</v>
      </c>
      <c r="H100" s="1">
        <v>1</v>
      </c>
      <c r="I100" s="1">
        <v>4713</v>
      </c>
      <c r="J100" t="str">
        <f>VLOOKUP(E100,Dignosis!$A$1:$B$11,2,)</f>
        <v>COPD</v>
      </c>
      <c r="K100" t="str">
        <f>VLOOKUP(H100,patients!$A$1:$B$4,2,)</f>
        <v>Edward Montes</v>
      </c>
      <c r="L100">
        <f t="shared" si="2"/>
        <v>55</v>
      </c>
      <c r="M100" t="str">
        <f>IF(VLOOKUP(A100,labs!A100:E299,3,FALSE)&gt;120,"high",)</f>
        <v>high</v>
      </c>
      <c r="N100" t="str">
        <f t="shared" si="3"/>
        <v>high risk</v>
      </c>
    </row>
    <row r="101" spans="1:14" x14ac:dyDescent="0.25">
      <c r="A101" s="1">
        <v>100</v>
      </c>
      <c r="B101" s="1" t="s">
        <v>110</v>
      </c>
      <c r="C101" s="1">
        <v>37</v>
      </c>
      <c r="D101" s="1" t="s">
        <v>10</v>
      </c>
      <c r="E101" s="1">
        <v>1</v>
      </c>
      <c r="F101" s="2">
        <v>45802</v>
      </c>
      <c r="G101" s="2">
        <v>45811</v>
      </c>
      <c r="H101" s="1">
        <v>3</v>
      </c>
      <c r="I101" s="1">
        <v>4203</v>
      </c>
      <c r="J101" t="str">
        <f>VLOOKUP(E101,Dignosis!$A$1:$B$11,2,)</f>
        <v>Hypertension</v>
      </c>
      <c r="K101" t="str">
        <f>VLOOKUP(H101,patients!$A$1:$B$4,2,)</f>
        <v>Gina Alexander</v>
      </c>
      <c r="L101">
        <f t="shared" si="2"/>
        <v>9</v>
      </c>
      <c r="M101" t="str">
        <f>IF(VLOOKUP(A101,labs!A101:E300,3,FALSE)&gt;120,"high",)</f>
        <v>high</v>
      </c>
      <c r="N101" t="str">
        <f t="shared" si="3"/>
        <v>high risk</v>
      </c>
    </row>
    <row r="102" spans="1:14" x14ac:dyDescent="0.25">
      <c r="A102" s="1">
        <v>101</v>
      </c>
      <c r="B102" s="1" t="s">
        <v>111</v>
      </c>
      <c r="C102" s="1">
        <v>43</v>
      </c>
      <c r="D102" s="1" t="s">
        <v>14</v>
      </c>
      <c r="E102" s="1">
        <v>4</v>
      </c>
      <c r="F102" s="2">
        <v>45728</v>
      </c>
      <c r="G102" s="2">
        <v>45798</v>
      </c>
      <c r="H102" s="1">
        <v>1</v>
      </c>
      <c r="I102" s="1">
        <v>7588</v>
      </c>
      <c r="J102" t="str">
        <f>VLOOKUP(E102,Dignosis!$A$1:$B$11,2,)</f>
        <v>Asthma</v>
      </c>
      <c r="K102" t="str">
        <f>VLOOKUP(H102,patients!$A$1:$B$4,2,)</f>
        <v>Edward Montes</v>
      </c>
      <c r="L102">
        <f t="shared" si="2"/>
        <v>70</v>
      </c>
      <c r="M102" t="str">
        <f>IF(VLOOKUP(A102,labs!A102:E301,3,FALSE)&gt;120,"high",)</f>
        <v>high</v>
      </c>
      <c r="N102" t="str">
        <f t="shared" si="3"/>
        <v>high risk</v>
      </c>
    </row>
    <row r="103" spans="1:14" x14ac:dyDescent="0.25">
      <c r="A103" s="1">
        <v>102</v>
      </c>
      <c r="B103" s="1" t="s">
        <v>112</v>
      </c>
      <c r="C103" s="1">
        <v>52</v>
      </c>
      <c r="D103" s="1" t="s">
        <v>14</v>
      </c>
      <c r="E103" s="1">
        <v>10</v>
      </c>
      <c r="F103" s="2">
        <v>45702</v>
      </c>
      <c r="G103" s="2">
        <v>45707</v>
      </c>
      <c r="H103" s="1">
        <v>1</v>
      </c>
      <c r="I103" s="1">
        <v>5120</v>
      </c>
      <c r="J103" t="str">
        <f>VLOOKUP(E103,Dignosis!$A$1:$B$11,2,)</f>
        <v>Liver Disease</v>
      </c>
      <c r="K103" t="str">
        <f>VLOOKUP(H103,patients!$A$1:$B$4,2,)</f>
        <v>Edward Montes</v>
      </c>
      <c r="L103">
        <f t="shared" si="2"/>
        <v>5</v>
      </c>
      <c r="M103" t="str">
        <f>IF(VLOOKUP(A103,labs!A103:E302,3,FALSE)&gt;120,"high",)</f>
        <v>high</v>
      </c>
      <c r="N103" t="str">
        <f t="shared" si="3"/>
        <v>high risk</v>
      </c>
    </row>
    <row r="104" spans="1:14" x14ac:dyDescent="0.25">
      <c r="A104" s="1">
        <v>103</v>
      </c>
      <c r="B104" s="1" t="s">
        <v>113</v>
      </c>
      <c r="C104" s="1">
        <v>89</v>
      </c>
      <c r="D104" s="1" t="s">
        <v>10</v>
      </c>
      <c r="E104" s="1">
        <v>6</v>
      </c>
      <c r="F104" s="2">
        <v>45789</v>
      </c>
      <c r="G104" s="2">
        <v>45799</v>
      </c>
      <c r="H104" s="1">
        <v>2</v>
      </c>
      <c r="I104" s="1">
        <v>2966</v>
      </c>
      <c r="J104" t="str">
        <f>VLOOKUP(E104,Dignosis!$A$1:$B$11,2,)</f>
        <v>COPD</v>
      </c>
      <c r="K104" t="str">
        <f>VLOOKUP(H104,patients!$A$1:$B$4,2,)</f>
        <v>Jessica Zimmerman</v>
      </c>
      <c r="L104">
        <f t="shared" si="2"/>
        <v>10</v>
      </c>
      <c r="M104" t="str">
        <f>IF(VLOOKUP(A104,labs!A104:E303,3,FALSE)&gt;120,"high",)</f>
        <v>high</v>
      </c>
      <c r="N104" t="str">
        <f t="shared" si="3"/>
        <v>low risk</v>
      </c>
    </row>
    <row r="105" spans="1:14" x14ac:dyDescent="0.25">
      <c r="A105" s="1">
        <v>104</v>
      </c>
      <c r="B105" s="1" t="s">
        <v>114</v>
      </c>
      <c r="C105" s="1">
        <v>86</v>
      </c>
      <c r="D105" s="1" t="s">
        <v>14</v>
      </c>
      <c r="E105" s="1">
        <v>6</v>
      </c>
      <c r="F105" s="2">
        <v>45693</v>
      </c>
      <c r="G105" s="2">
        <v>45821</v>
      </c>
      <c r="H105" s="1">
        <v>2</v>
      </c>
      <c r="I105" s="1">
        <v>6944</v>
      </c>
      <c r="J105" t="str">
        <f>VLOOKUP(E105,Dignosis!$A$1:$B$11,2,)</f>
        <v>COPD</v>
      </c>
      <c r="K105" t="str">
        <f>VLOOKUP(H105,patients!$A$1:$B$4,2,)</f>
        <v>Jessica Zimmerman</v>
      </c>
      <c r="L105">
        <f t="shared" si="2"/>
        <v>128</v>
      </c>
      <c r="M105" t="str">
        <f>IF(VLOOKUP(A105,labs!A105:E304,3,FALSE)&gt;120,"high",)</f>
        <v>high</v>
      </c>
      <c r="N105" t="str">
        <f t="shared" si="3"/>
        <v>low risk</v>
      </c>
    </row>
    <row r="106" spans="1:14" x14ac:dyDescent="0.25">
      <c r="A106" s="1">
        <v>105</v>
      </c>
      <c r="B106" s="1" t="s">
        <v>115</v>
      </c>
      <c r="C106" s="1">
        <v>69</v>
      </c>
      <c r="D106" s="1" t="s">
        <v>14</v>
      </c>
      <c r="E106" s="1">
        <v>5</v>
      </c>
      <c r="F106" s="2">
        <v>45727</v>
      </c>
      <c r="G106" s="2">
        <v>45759</v>
      </c>
      <c r="H106" s="1">
        <v>3</v>
      </c>
      <c r="I106" s="1">
        <v>7203</v>
      </c>
      <c r="J106" t="str">
        <f>VLOOKUP(E106,Dignosis!$A$1:$B$11,2,)</f>
        <v>Stroke</v>
      </c>
      <c r="K106" t="str">
        <f>VLOOKUP(H106,patients!$A$1:$B$4,2,)</f>
        <v>Gina Alexander</v>
      </c>
      <c r="L106">
        <f t="shared" si="2"/>
        <v>32</v>
      </c>
      <c r="M106" t="str">
        <f>IF(VLOOKUP(A106,labs!A106:E305,3,FALSE)&gt;120,"high",)</f>
        <v>high</v>
      </c>
      <c r="N106" t="str">
        <f t="shared" si="3"/>
        <v>low risk</v>
      </c>
    </row>
    <row r="107" spans="1:14" x14ac:dyDescent="0.25">
      <c r="A107" s="1">
        <v>106</v>
      </c>
      <c r="B107" s="1" t="s">
        <v>116</v>
      </c>
      <c r="C107" s="1">
        <v>50</v>
      </c>
      <c r="D107" s="1" t="s">
        <v>14</v>
      </c>
      <c r="E107" s="1">
        <v>1</v>
      </c>
      <c r="F107" s="2">
        <v>45816</v>
      </c>
      <c r="G107" s="2">
        <v>45826</v>
      </c>
      <c r="H107" s="1">
        <v>1</v>
      </c>
      <c r="I107" s="1">
        <v>5432</v>
      </c>
      <c r="J107" t="str">
        <f>VLOOKUP(E107,Dignosis!$A$1:$B$11,2,)</f>
        <v>Hypertension</v>
      </c>
      <c r="K107" t="str">
        <f>VLOOKUP(H107,patients!$A$1:$B$4,2,)</f>
        <v>Edward Montes</v>
      </c>
      <c r="L107">
        <f t="shared" si="2"/>
        <v>10</v>
      </c>
      <c r="M107" t="str">
        <f>IF(VLOOKUP(A107,labs!A107:E306,3,FALSE)&gt;120,"high",)</f>
        <v>high</v>
      </c>
      <c r="N107" t="str">
        <f t="shared" si="3"/>
        <v>high risk</v>
      </c>
    </row>
    <row r="108" spans="1:14" x14ac:dyDescent="0.25">
      <c r="A108" s="1">
        <v>107</v>
      </c>
      <c r="B108" s="1" t="s">
        <v>117</v>
      </c>
      <c r="C108" s="1">
        <v>45</v>
      </c>
      <c r="D108" s="1" t="s">
        <v>14</v>
      </c>
      <c r="E108" s="1">
        <v>8</v>
      </c>
      <c r="F108" s="2">
        <v>45676</v>
      </c>
      <c r="G108" s="2">
        <v>45844</v>
      </c>
      <c r="H108" s="1">
        <v>1</v>
      </c>
      <c r="I108" s="1">
        <v>2688</v>
      </c>
      <c r="J108" t="str">
        <f>VLOOKUP(E108,Dignosis!$A$1:$B$11,2,)</f>
        <v>Arthritis</v>
      </c>
      <c r="K108" t="str">
        <f>VLOOKUP(H108,patients!$A$1:$B$4,2,)</f>
        <v>Edward Montes</v>
      </c>
      <c r="L108">
        <f t="shared" si="2"/>
        <v>168</v>
      </c>
      <c r="M108" t="str">
        <f>IF(VLOOKUP(A108,labs!A108:E307,3,FALSE)&gt;120,"high",)</f>
        <v>high</v>
      </c>
      <c r="N108" t="str">
        <f t="shared" si="3"/>
        <v>high risk</v>
      </c>
    </row>
    <row r="109" spans="1:14" x14ac:dyDescent="0.25">
      <c r="A109" s="1">
        <v>108</v>
      </c>
      <c r="B109" s="1" t="s">
        <v>118</v>
      </c>
      <c r="C109" s="1">
        <v>74</v>
      </c>
      <c r="D109" s="1" t="s">
        <v>10</v>
      </c>
      <c r="E109" s="1">
        <v>5</v>
      </c>
      <c r="F109" s="2">
        <v>45765</v>
      </c>
      <c r="G109" s="2">
        <v>45771</v>
      </c>
      <c r="H109" s="1">
        <v>1</v>
      </c>
      <c r="I109" s="1">
        <v>6243</v>
      </c>
      <c r="J109" t="str">
        <f>VLOOKUP(E109,Dignosis!$A$1:$B$11,2,)</f>
        <v>Stroke</v>
      </c>
      <c r="K109" t="str">
        <f>VLOOKUP(H109,patients!$A$1:$B$4,2,)</f>
        <v>Edward Montes</v>
      </c>
      <c r="L109">
        <f t="shared" si="2"/>
        <v>6</v>
      </c>
      <c r="M109" t="str">
        <f>IF(VLOOKUP(A109,labs!A109:E308,3,FALSE)&gt;120,"high",)</f>
        <v>high</v>
      </c>
      <c r="N109" t="str">
        <f t="shared" si="3"/>
        <v>low risk</v>
      </c>
    </row>
    <row r="110" spans="1:14" x14ac:dyDescent="0.25">
      <c r="A110" s="1">
        <v>109</v>
      </c>
      <c r="B110" s="1" t="s">
        <v>119</v>
      </c>
      <c r="C110" s="1">
        <v>47</v>
      </c>
      <c r="D110" s="1" t="s">
        <v>10</v>
      </c>
      <c r="E110" s="1">
        <v>5</v>
      </c>
      <c r="F110" s="2">
        <v>45824</v>
      </c>
      <c r="G110" s="2">
        <v>45834</v>
      </c>
      <c r="H110" s="1">
        <v>3</v>
      </c>
      <c r="I110" s="1">
        <v>5701</v>
      </c>
      <c r="J110" t="str">
        <f>VLOOKUP(E110,Dignosis!$A$1:$B$11,2,)</f>
        <v>Stroke</v>
      </c>
      <c r="K110" t="str">
        <f>VLOOKUP(H110,patients!$A$1:$B$4,2,)</f>
        <v>Gina Alexander</v>
      </c>
      <c r="L110">
        <f t="shared" si="2"/>
        <v>10</v>
      </c>
      <c r="M110" t="str">
        <f>IF(VLOOKUP(A110,labs!A110:E309,3,FALSE)&gt;120,"high",)</f>
        <v>high</v>
      </c>
      <c r="N110" t="str">
        <f t="shared" si="3"/>
        <v>high risk</v>
      </c>
    </row>
    <row r="111" spans="1:14" x14ac:dyDescent="0.25">
      <c r="A111" s="1">
        <v>110</v>
      </c>
      <c r="B111" s="1" t="s">
        <v>120</v>
      </c>
      <c r="C111" s="1">
        <v>76</v>
      </c>
      <c r="D111" s="1" t="s">
        <v>14</v>
      </c>
      <c r="E111" s="1">
        <v>7</v>
      </c>
      <c r="F111" s="2">
        <v>45748</v>
      </c>
      <c r="G111" s="2">
        <v>45752</v>
      </c>
      <c r="H111" s="1">
        <v>3</v>
      </c>
      <c r="I111" s="1">
        <v>2341</v>
      </c>
      <c r="J111" t="str">
        <f>VLOOKUP(E111,Dignosis!$A$1:$B$11,2,)</f>
        <v>Cancer</v>
      </c>
      <c r="K111" t="str">
        <f>VLOOKUP(H111,patients!$A$1:$B$4,2,)</f>
        <v>Gina Alexander</v>
      </c>
      <c r="L111">
        <f t="shared" si="2"/>
        <v>4</v>
      </c>
      <c r="M111" t="str">
        <f>IF(VLOOKUP(A111,labs!A111:E310,3,FALSE)&gt;120,"high",)</f>
        <v>high</v>
      </c>
      <c r="N111" t="str">
        <f t="shared" si="3"/>
        <v>low risk</v>
      </c>
    </row>
    <row r="112" spans="1:14" x14ac:dyDescent="0.25">
      <c r="A112" s="1">
        <v>111</v>
      </c>
      <c r="B112" s="1" t="s">
        <v>121</v>
      </c>
      <c r="C112" s="1">
        <v>82</v>
      </c>
      <c r="D112" s="1" t="s">
        <v>14</v>
      </c>
      <c r="E112" s="1">
        <v>4</v>
      </c>
      <c r="F112" s="2">
        <v>45747</v>
      </c>
      <c r="G112" s="2">
        <v>45813</v>
      </c>
      <c r="H112" s="1">
        <v>2</v>
      </c>
      <c r="I112" s="1">
        <v>8619</v>
      </c>
      <c r="J112" t="str">
        <f>VLOOKUP(E112,Dignosis!$A$1:$B$11,2,)</f>
        <v>Asthma</v>
      </c>
      <c r="K112" t="str">
        <f>VLOOKUP(H112,patients!$A$1:$B$4,2,)</f>
        <v>Jessica Zimmerman</v>
      </c>
      <c r="L112">
        <f t="shared" si="2"/>
        <v>66</v>
      </c>
      <c r="M112" t="str">
        <f>IF(VLOOKUP(A112,labs!A112:E311,3,FALSE)&gt;120,"high",)</f>
        <v>high</v>
      </c>
      <c r="N112" t="str">
        <f t="shared" si="3"/>
        <v>low risk</v>
      </c>
    </row>
    <row r="113" spans="1:14" x14ac:dyDescent="0.25">
      <c r="A113" s="1">
        <v>112</v>
      </c>
      <c r="B113" s="1" t="s">
        <v>122</v>
      </c>
      <c r="C113" s="1">
        <v>53</v>
      </c>
      <c r="D113" s="1" t="s">
        <v>10</v>
      </c>
      <c r="E113" s="1">
        <v>6</v>
      </c>
      <c r="F113" s="2">
        <v>45676</v>
      </c>
      <c r="G113" s="2">
        <v>45687</v>
      </c>
      <c r="H113" s="1">
        <v>2</v>
      </c>
      <c r="I113" s="1">
        <v>7182</v>
      </c>
      <c r="J113" t="str">
        <f>VLOOKUP(E113,Dignosis!$A$1:$B$11,2,)</f>
        <v>COPD</v>
      </c>
      <c r="K113" t="str">
        <f>VLOOKUP(H113,patients!$A$1:$B$4,2,)</f>
        <v>Jessica Zimmerman</v>
      </c>
      <c r="L113">
        <f t="shared" si="2"/>
        <v>11</v>
      </c>
      <c r="M113" t="str">
        <f>IF(VLOOKUP(A113,labs!A113:E312,3,FALSE)&gt;120,"high",)</f>
        <v>high</v>
      </c>
      <c r="N113" t="str">
        <f t="shared" si="3"/>
        <v>high risk</v>
      </c>
    </row>
    <row r="114" spans="1:14" x14ac:dyDescent="0.25">
      <c r="A114" s="1">
        <v>113</v>
      </c>
      <c r="B114" s="1" t="s">
        <v>123</v>
      </c>
      <c r="C114" s="1">
        <v>55</v>
      </c>
      <c r="D114" s="1" t="s">
        <v>10</v>
      </c>
      <c r="E114" s="1">
        <v>4</v>
      </c>
      <c r="F114" s="2">
        <v>45696</v>
      </c>
      <c r="G114" s="2">
        <v>45698</v>
      </c>
      <c r="H114" s="1">
        <v>2</v>
      </c>
      <c r="I114" s="1">
        <v>3724</v>
      </c>
      <c r="J114" t="str">
        <f>VLOOKUP(E114,Dignosis!$A$1:$B$11,2,)</f>
        <v>Asthma</v>
      </c>
      <c r="K114" t="str">
        <f>VLOOKUP(H114,patients!$A$1:$B$4,2,)</f>
        <v>Jessica Zimmerman</v>
      </c>
      <c r="L114">
        <f t="shared" si="2"/>
        <v>2</v>
      </c>
      <c r="M114" t="str">
        <f>IF(VLOOKUP(A114,labs!A114:E313,3,FALSE)&gt;120,"high",)</f>
        <v>high</v>
      </c>
      <c r="N114" t="str">
        <f t="shared" si="3"/>
        <v>high risk</v>
      </c>
    </row>
    <row r="115" spans="1:14" x14ac:dyDescent="0.25">
      <c r="A115" s="1">
        <v>114</v>
      </c>
      <c r="B115" s="1" t="s">
        <v>124</v>
      </c>
      <c r="C115" s="1">
        <v>54</v>
      </c>
      <c r="D115" s="1" t="s">
        <v>14</v>
      </c>
      <c r="E115" s="1">
        <v>3</v>
      </c>
      <c r="F115" s="2">
        <v>45783</v>
      </c>
      <c r="G115" s="2">
        <v>45784</v>
      </c>
      <c r="H115" s="1">
        <v>1</v>
      </c>
      <c r="I115" s="1">
        <v>7479</v>
      </c>
      <c r="J115" t="str">
        <f>VLOOKUP(E115,Dignosis!$A$1:$B$11,2,)</f>
        <v>Heart Disease</v>
      </c>
      <c r="K115" t="str">
        <f>VLOOKUP(H115,patients!$A$1:$B$4,2,)</f>
        <v>Edward Montes</v>
      </c>
      <c r="L115">
        <f t="shared" si="2"/>
        <v>1</v>
      </c>
      <c r="M115" t="str">
        <f>IF(VLOOKUP(A115,labs!A115:E314,3,FALSE)&gt;120,"high",)</f>
        <v>high</v>
      </c>
      <c r="N115" t="str">
        <f t="shared" si="3"/>
        <v>high risk</v>
      </c>
    </row>
    <row r="116" spans="1:14" x14ac:dyDescent="0.25">
      <c r="A116" s="1">
        <v>115</v>
      </c>
      <c r="B116" s="1" t="s">
        <v>125</v>
      </c>
      <c r="C116" s="1">
        <v>89</v>
      </c>
      <c r="D116" s="1" t="s">
        <v>10</v>
      </c>
      <c r="E116" s="1">
        <v>7</v>
      </c>
      <c r="F116" s="2">
        <v>45830</v>
      </c>
      <c r="G116" s="2">
        <v>45836</v>
      </c>
      <c r="H116" s="1">
        <v>1</v>
      </c>
      <c r="I116" s="1">
        <v>8704</v>
      </c>
      <c r="J116" t="str">
        <f>VLOOKUP(E116,Dignosis!$A$1:$B$11,2,)</f>
        <v>Cancer</v>
      </c>
      <c r="K116" t="str">
        <f>VLOOKUP(H116,patients!$A$1:$B$4,2,)</f>
        <v>Edward Montes</v>
      </c>
      <c r="L116">
        <f t="shared" si="2"/>
        <v>6</v>
      </c>
      <c r="M116" t="str">
        <f>IF(VLOOKUP(A116,labs!A116:E315,3,FALSE)&gt;120,"high",)</f>
        <v>high</v>
      </c>
      <c r="N116" t="str">
        <f t="shared" si="3"/>
        <v>low risk</v>
      </c>
    </row>
    <row r="117" spans="1:14" x14ac:dyDescent="0.25">
      <c r="A117" s="1">
        <v>116</v>
      </c>
      <c r="B117" s="1" t="s">
        <v>126</v>
      </c>
      <c r="C117" s="1">
        <v>89</v>
      </c>
      <c r="D117" s="1" t="s">
        <v>14</v>
      </c>
      <c r="E117" s="1">
        <v>8</v>
      </c>
      <c r="F117" s="2">
        <v>45798</v>
      </c>
      <c r="G117" s="2">
        <v>45802</v>
      </c>
      <c r="H117" s="1">
        <v>2</v>
      </c>
      <c r="I117" s="1">
        <v>6422</v>
      </c>
      <c r="J117" t="str">
        <f>VLOOKUP(E117,Dignosis!$A$1:$B$11,2,)</f>
        <v>Arthritis</v>
      </c>
      <c r="K117" t="str">
        <f>VLOOKUP(H117,patients!$A$1:$B$4,2,)</f>
        <v>Jessica Zimmerman</v>
      </c>
      <c r="L117">
        <f t="shared" si="2"/>
        <v>4</v>
      </c>
      <c r="M117" t="str">
        <f>IF(VLOOKUP(A117,labs!A117:E316,3,FALSE)&gt;120,"high",)</f>
        <v>high</v>
      </c>
      <c r="N117" t="str">
        <f t="shared" si="3"/>
        <v>low risk</v>
      </c>
    </row>
    <row r="118" spans="1:14" x14ac:dyDescent="0.25">
      <c r="A118" s="1">
        <v>117</v>
      </c>
      <c r="B118" s="1" t="s">
        <v>127</v>
      </c>
      <c r="C118" s="1">
        <v>89</v>
      </c>
      <c r="D118" s="1" t="s">
        <v>14</v>
      </c>
      <c r="E118" s="1">
        <v>4</v>
      </c>
      <c r="F118" s="2">
        <v>45783</v>
      </c>
      <c r="G118" s="2">
        <v>45788</v>
      </c>
      <c r="H118" s="1">
        <v>1</v>
      </c>
      <c r="I118" s="1">
        <v>3792</v>
      </c>
      <c r="J118" t="str">
        <f>VLOOKUP(E118,Dignosis!$A$1:$B$11,2,)</f>
        <v>Asthma</v>
      </c>
      <c r="K118" t="str">
        <f>VLOOKUP(H118,patients!$A$1:$B$4,2,)</f>
        <v>Edward Montes</v>
      </c>
      <c r="L118">
        <f t="shared" si="2"/>
        <v>5</v>
      </c>
      <c r="M118" t="str">
        <f>IF(VLOOKUP(A118,labs!A118:E317,3,FALSE)&gt;120,"high",)</f>
        <v>high</v>
      </c>
      <c r="N118" t="str">
        <f t="shared" si="3"/>
        <v>low risk</v>
      </c>
    </row>
    <row r="119" spans="1:14" x14ac:dyDescent="0.25">
      <c r="A119" s="1">
        <v>118</v>
      </c>
      <c r="B119" s="1" t="s">
        <v>128</v>
      </c>
      <c r="C119" s="1">
        <v>74</v>
      </c>
      <c r="D119" s="1" t="s">
        <v>10</v>
      </c>
      <c r="E119" s="1">
        <v>2</v>
      </c>
      <c r="F119" s="2">
        <v>45715</v>
      </c>
      <c r="G119" s="2">
        <v>45815</v>
      </c>
      <c r="H119" s="1">
        <v>2</v>
      </c>
      <c r="I119" s="1">
        <v>3759</v>
      </c>
      <c r="J119" t="str">
        <f>VLOOKUP(E119,Dignosis!$A$1:$B$11,2,)</f>
        <v>Diabetes</v>
      </c>
      <c r="K119" t="str">
        <f>VLOOKUP(H119,patients!$A$1:$B$4,2,)</f>
        <v>Jessica Zimmerman</v>
      </c>
      <c r="L119">
        <f t="shared" si="2"/>
        <v>100</v>
      </c>
      <c r="M119" t="str">
        <f>IF(VLOOKUP(A119,labs!A119:E318,3,FALSE)&gt;120,"high",)</f>
        <v>high</v>
      </c>
      <c r="N119" t="str">
        <f t="shared" si="3"/>
        <v>low risk</v>
      </c>
    </row>
    <row r="120" spans="1:14" x14ac:dyDescent="0.25">
      <c r="A120" s="1">
        <v>119</v>
      </c>
      <c r="B120" s="1" t="s">
        <v>129</v>
      </c>
      <c r="C120" s="1">
        <v>70</v>
      </c>
      <c r="D120" s="1" t="s">
        <v>10</v>
      </c>
      <c r="E120" s="1">
        <v>10</v>
      </c>
      <c r="F120" s="2">
        <v>45805</v>
      </c>
      <c r="G120" s="2">
        <v>45807</v>
      </c>
      <c r="H120" s="1">
        <v>3</v>
      </c>
      <c r="I120" s="1">
        <v>5212</v>
      </c>
      <c r="J120" t="str">
        <f>VLOOKUP(E120,Dignosis!$A$1:$B$11,2,)</f>
        <v>Liver Disease</v>
      </c>
      <c r="K120" t="str">
        <f>VLOOKUP(H120,patients!$A$1:$B$4,2,)</f>
        <v>Gina Alexander</v>
      </c>
      <c r="L120">
        <f t="shared" si="2"/>
        <v>2</v>
      </c>
      <c r="M120" t="str">
        <f>IF(VLOOKUP(A120,labs!A120:E319,3,FALSE)&gt;120,"high",)</f>
        <v>high</v>
      </c>
      <c r="N120" t="str">
        <f t="shared" si="3"/>
        <v>low risk</v>
      </c>
    </row>
    <row r="121" spans="1:14" x14ac:dyDescent="0.25">
      <c r="A121" s="1">
        <v>120</v>
      </c>
      <c r="B121" s="1" t="s">
        <v>130</v>
      </c>
      <c r="C121" s="1">
        <v>58</v>
      </c>
      <c r="D121" s="1" t="s">
        <v>14</v>
      </c>
      <c r="E121" s="1">
        <v>3</v>
      </c>
      <c r="F121" s="2">
        <v>45718</v>
      </c>
      <c r="G121" s="2">
        <v>45722</v>
      </c>
      <c r="H121" s="1">
        <v>2</v>
      </c>
      <c r="I121" s="1">
        <v>2989</v>
      </c>
      <c r="J121" t="str">
        <f>VLOOKUP(E121,Dignosis!$A$1:$B$11,2,)</f>
        <v>Heart Disease</v>
      </c>
      <c r="K121" t="str">
        <f>VLOOKUP(H121,patients!$A$1:$B$4,2,)</f>
        <v>Jessica Zimmerman</v>
      </c>
      <c r="L121">
        <f t="shared" si="2"/>
        <v>4</v>
      </c>
      <c r="M121" t="str">
        <f>IF(VLOOKUP(A121,labs!A121:E320,3,FALSE)&gt;120,"high",)</f>
        <v>high</v>
      </c>
      <c r="N121" t="str">
        <f t="shared" si="3"/>
        <v>high risk</v>
      </c>
    </row>
    <row r="122" spans="1:14" x14ac:dyDescent="0.25">
      <c r="A122" s="1">
        <v>121</v>
      </c>
      <c r="B122" s="1" t="s">
        <v>131</v>
      </c>
      <c r="C122" s="1">
        <v>44</v>
      </c>
      <c r="D122" s="1" t="s">
        <v>14</v>
      </c>
      <c r="E122" s="1">
        <v>1</v>
      </c>
      <c r="F122" s="2">
        <v>45784</v>
      </c>
      <c r="G122" s="2">
        <v>45799</v>
      </c>
      <c r="H122" s="1">
        <v>3</v>
      </c>
      <c r="I122" s="1">
        <v>4262</v>
      </c>
      <c r="J122" t="str">
        <f>VLOOKUP(E122,Dignosis!$A$1:$B$11,2,)</f>
        <v>Hypertension</v>
      </c>
      <c r="K122" t="str">
        <f>VLOOKUP(H122,patients!$A$1:$B$4,2,)</f>
        <v>Gina Alexander</v>
      </c>
      <c r="L122">
        <f t="shared" si="2"/>
        <v>15</v>
      </c>
      <c r="M122" t="str">
        <f>IF(VLOOKUP(A122,labs!A122:E321,3,FALSE)&gt;120,"high",)</f>
        <v>high</v>
      </c>
      <c r="N122" t="str">
        <f t="shared" si="3"/>
        <v>high risk</v>
      </c>
    </row>
    <row r="123" spans="1:14" x14ac:dyDescent="0.25">
      <c r="A123" s="1">
        <v>122</v>
      </c>
      <c r="B123" s="1" t="s">
        <v>132</v>
      </c>
      <c r="C123" s="1">
        <v>74</v>
      </c>
      <c r="D123" s="1" t="s">
        <v>10</v>
      </c>
      <c r="E123" s="1">
        <v>8</v>
      </c>
      <c r="F123" s="2">
        <v>45762</v>
      </c>
      <c r="G123" s="2">
        <v>45764</v>
      </c>
      <c r="H123" s="1">
        <v>1</v>
      </c>
      <c r="I123" s="1">
        <v>4482</v>
      </c>
      <c r="J123" t="str">
        <f>VLOOKUP(E123,Dignosis!$A$1:$B$11,2,)</f>
        <v>Arthritis</v>
      </c>
      <c r="K123" t="str">
        <f>VLOOKUP(H123,patients!$A$1:$B$4,2,)</f>
        <v>Edward Montes</v>
      </c>
      <c r="L123">
        <f t="shared" si="2"/>
        <v>2</v>
      </c>
      <c r="M123" t="str">
        <f>IF(VLOOKUP(A123,labs!A123:E322,3,FALSE)&gt;120,"high",)</f>
        <v>high</v>
      </c>
      <c r="N123" t="str">
        <f t="shared" si="3"/>
        <v>low risk</v>
      </c>
    </row>
    <row r="124" spans="1:14" x14ac:dyDescent="0.25">
      <c r="A124" s="1">
        <v>123</v>
      </c>
      <c r="B124" s="1" t="s">
        <v>133</v>
      </c>
      <c r="C124" s="1">
        <v>30</v>
      </c>
      <c r="D124" s="1" t="s">
        <v>14</v>
      </c>
      <c r="E124" s="1">
        <v>3</v>
      </c>
      <c r="F124" s="2">
        <v>45824</v>
      </c>
      <c r="G124" s="2">
        <v>45831</v>
      </c>
      <c r="H124" s="1">
        <v>2</v>
      </c>
      <c r="I124" s="1">
        <v>2951</v>
      </c>
      <c r="J124" t="str">
        <f>VLOOKUP(E124,Dignosis!$A$1:$B$11,2,)</f>
        <v>Heart Disease</v>
      </c>
      <c r="K124" t="str">
        <f>VLOOKUP(H124,patients!$A$1:$B$4,2,)</f>
        <v>Jessica Zimmerman</v>
      </c>
      <c r="L124">
        <f t="shared" si="2"/>
        <v>7</v>
      </c>
      <c r="M124" t="str">
        <f>IF(VLOOKUP(A124,labs!A124:E323,3,FALSE)&gt;120,"high",)</f>
        <v>high</v>
      </c>
      <c r="N124" t="str">
        <f t="shared" si="3"/>
        <v>high risk</v>
      </c>
    </row>
    <row r="125" spans="1:14" x14ac:dyDescent="0.25">
      <c r="A125" s="1">
        <v>124</v>
      </c>
      <c r="B125" s="1" t="s">
        <v>134</v>
      </c>
      <c r="C125" s="1">
        <v>54</v>
      </c>
      <c r="D125" s="1" t="s">
        <v>10</v>
      </c>
      <c r="E125" s="1">
        <v>10</v>
      </c>
      <c r="F125" s="2">
        <v>45658</v>
      </c>
      <c r="G125" s="2">
        <v>45712</v>
      </c>
      <c r="H125" s="1">
        <v>1</v>
      </c>
      <c r="I125" s="1">
        <v>2722</v>
      </c>
      <c r="J125" t="str">
        <f>VLOOKUP(E125,Dignosis!$A$1:$B$11,2,)</f>
        <v>Liver Disease</v>
      </c>
      <c r="K125" t="str">
        <f>VLOOKUP(H125,patients!$A$1:$B$4,2,)</f>
        <v>Edward Montes</v>
      </c>
      <c r="L125">
        <f t="shared" si="2"/>
        <v>54</v>
      </c>
      <c r="M125" t="str">
        <f>IF(VLOOKUP(A125,labs!A125:E324,3,FALSE)&gt;120,"high",)</f>
        <v>high</v>
      </c>
      <c r="N125" t="str">
        <f t="shared" si="3"/>
        <v>high risk</v>
      </c>
    </row>
    <row r="126" spans="1:14" x14ac:dyDescent="0.25">
      <c r="A126" s="1">
        <v>125</v>
      </c>
      <c r="B126" s="1" t="s">
        <v>135</v>
      </c>
      <c r="C126" s="1">
        <v>36</v>
      </c>
      <c r="D126" s="1" t="s">
        <v>14</v>
      </c>
      <c r="E126" s="1">
        <v>7</v>
      </c>
      <c r="F126" s="2">
        <v>45788</v>
      </c>
      <c r="G126" s="2">
        <v>45793</v>
      </c>
      <c r="H126" s="1">
        <v>3</v>
      </c>
      <c r="I126" s="1">
        <v>5389</v>
      </c>
      <c r="J126" t="str">
        <f>VLOOKUP(E126,Dignosis!$A$1:$B$11,2,)</f>
        <v>Cancer</v>
      </c>
      <c r="K126" t="str">
        <f>VLOOKUP(H126,patients!$A$1:$B$4,2,)</f>
        <v>Gina Alexander</v>
      </c>
      <c r="L126">
        <f t="shared" si="2"/>
        <v>5</v>
      </c>
      <c r="M126" t="str">
        <f>IF(VLOOKUP(A126,labs!A126:E325,3,FALSE)&gt;120,"high",)</f>
        <v>high</v>
      </c>
      <c r="N126" t="str">
        <f t="shared" si="3"/>
        <v>high risk</v>
      </c>
    </row>
    <row r="127" spans="1:14" x14ac:dyDescent="0.25">
      <c r="A127" s="1">
        <v>126</v>
      </c>
      <c r="B127" s="1" t="s">
        <v>136</v>
      </c>
      <c r="C127" s="1">
        <v>38</v>
      </c>
      <c r="D127" s="1" t="s">
        <v>10</v>
      </c>
      <c r="E127" s="1">
        <v>10</v>
      </c>
      <c r="F127" s="2">
        <v>45749</v>
      </c>
      <c r="G127" s="2">
        <v>45843</v>
      </c>
      <c r="H127" s="1">
        <v>3</v>
      </c>
      <c r="I127" s="1">
        <v>4079</v>
      </c>
      <c r="J127" t="str">
        <f>VLOOKUP(E127,Dignosis!$A$1:$B$11,2,)</f>
        <v>Liver Disease</v>
      </c>
      <c r="K127" t="str">
        <f>VLOOKUP(H127,patients!$A$1:$B$4,2,)</f>
        <v>Gina Alexander</v>
      </c>
      <c r="L127">
        <f t="shared" si="2"/>
        <v>94</v>
      </c>
      <c r="M127" t="str">
        <f>IF(VLOOKUP(A127,labs!A127:E326,3,FALSE)&gt;120,"high",)</f>
        <v>high</v>
      </c>
      <c r="N127" t="str">
        <f t="shared" si="3"/>
        <v>high risk</v>
      </c>
    </row>
    <row r="128" spans="1:14" x14ac:dyDescent="0.25">
      <c r="A128" s="1">
        <v>127</v>
      </c>
      <c r="B128" s="1" t="s">
        <v>137</v>
      </c>
      <c r="C128" s="1">
        <v>53</v>
      </c>
      <c r="D128" s="1" t="s">
        <v>10</v>
      </c>
      <c r="E128" s="1">
        <v>5</v>
      </c>
      <c r="F128" s="2">
        <v>45770</v>
      </c>
      <c r="G128" s="2">
        <v>45778</v>
      </c>
      <c r="H128" s="1">
        <v>3</v>
      </c>
      <c r="I128" s="1">
        <v>4717</v>
      </c>
      <c r="J128" t="str">
        <f>VLOOKUP(E128,Dignosis!$A$1:$B$11,2,)</f>
        <v>Stroke</v>
      </c>
      <c r="K128" t="str">
        <f>VLOOKUP(H128,patients!$A$1:$B$4,2,)</f>
        <v>Gina Alexander</v>
      </c>
      <c r="L128">
        <f t="shared" si="2"/>
        <v>8</v>
      </c>
      <c r="M128" t="str">
        <f>IF(VLOOKUP(A128,labs!A128:E327,3,FALSE)&gt;120,"high",)</f>
        <v>high</v>
      </c>
      <c r="N128" t="str">
        <f t="shared" si="3"/>
        <v>high risk</v>
      </c>
    </row>
    <row r="129" spans="1:14" x14ac:dyDescent="0.25">
      <c r="A129" s="1">
        <v>128</v>
      </c>
      <c r="B129" s="1" t="s">
        <v>138</v>
      </c>
      <c r="C129" s="1">
        <v>30</v>
      </c>
      <c r="D129" s="1" t="s">
        <v>10</v>
      </c>
      <c r="E129" s="1">
        <v>10</v>
      </c>
      <c r="F129" s="2">
        <v>45810</v>
      </c>
      <c r="G129" s="2">
        <v>45816</v>
      </c>
      <c r="H129" s="1">
        <v>1</v>
      </c>
      <c r="I129" s="1">
        <v>4332</v>
      </c>
      <c r="J129" t="str">
        <f>VLOOKUP(E129,Dignosis!$A$1:$B$11,2,)</f>
        <v>Liver Disease</v>
      </c>
      <c r="K129" t="str">
        <f>VLOOKUP(H129,patients!$A$1:$B$4,2,)</f>
        <v>Edward Montes</v>
      </c>
      <c r="L129">
        <f t="shared" si="2"/>
        <v>6</v>
      </c>
      <c r="M129" t="str">
        <f>IF(VLOOKUP(A129,labs!A129:E328,3,FALSE)&gt;120,"high",)</f>
        <v>high</v>
      </c>
      <c r="N129" t="str">
        <f t="shared" si="3"/>
        <v>high risk</v>
      </c>
    </row>
    <row r="130" spans="1:14" x14ac:dyDescent="0.25">
      <c r="A130" s="1">
        <v>129</v>
      </c>
      <c r="B130" s="1" t="s">
        <v>139</v>
      </c>
      <c r="C130" s="1">
        <v>73</v>
      </c>
      <c r="D130" s="1" t="s">
        <v>14</v>
      </c>
      <c r="E130" s="1">
        <v>5</v>
      </c>
      <c r="F130" s="2">
        <v>45713</v>
      </c>
      <c r="G130" s="2">
        <v>45821</v>
      </c>
      <c r="H130" s="1">
        <v>1</v>
      </c>
      <c r="I130" s="1">
        <v>5376</v>
      </c>
      <c r="J130" t="str">
        <f>VLOOKUP(E130,Dignosis!$A$1:$B$11,2,)</f>
        <v>Stroke</v>
      </c>
      <c r="K130" t="str">
        <f>VLOOKUP(H130,patients!$A$1:$B$4,2,)</f>
        <v>Edward Montes</v>
      </c>
      <c r="L130">
        <f t="shared" si="2"/>
        <v>108</v>
      </c>
      <c r="M130" t="str">
        <f>IF(VLOOKUP(A130,labs!A130:E329,3,FALSE)&gt;120,"high",)</f>
        <v>high</v>
      </c>
      <c r="N130" t="str">
        <f t="shared" si="3"/>
        <v>low risk</v>
      </c>
    </row>
    <row r="131" spans="1:14" x14ac:dyDescent="0.25">
      <c r="A131" s="1">
        <v>130</v>
      </c>
      <c r="B131" s="1" t="s">
        <v>140</v>
      </c>
      <c r="C131" s="1">
        <v>37</v>
      </c>
      <c r="D131" s="1" t="s">
        <v>14</v>
      </c>
      <c r="E131" s="1">
        <v>7</v>
      </c>
      <c r="F131" s="2">
        <v>45818</v>
      </c>
      <c r="G131" s="2">
        <v>45821</v>
      </c>
      <c r="H131" s="1">
        <v>1</v>
      </c>
      <c r="I131" s="1">
        <v>6524</v>
      </c>
      <c r="J131" t="str">
        <f>VLOOKUP(E131,Dignosis!$A$1:$B$11,2,)</f>
        <v>Cancer</v>
      </c>
      <c r="K131" t="str">
        <f>VLOOKUP(H131,patients!$A$1:$B$4,2,)</f>
        <v>Edward Montes</v>
      </c>
      <c r="L131">
        <f t="shared" ref="L131:L194" si="4">_xlfn.DAYS(G131,F131)</f>
        <v>3</v>
      </c>
      <c r="M131" t="str">
        <f>IF(VLOOKUP(A131,labs!A131:E330,3,FALSE)&gt;120,"high",)</f>
        <v>high</v>
      </c>
      <c r="N131" t="str">
        <f t="shared" ref="N131:N194" si="5">IF(OR(C131&lt;65,H131&lt;1),"high risk","low risk")</f>
        <v>high risk</v>
      </c>
    </row>
    <row r="132" spans="1:14" x14ac:dyDescent="0.25">
      <c r="A132" s="1">
        <v>131</v>
      </c>
      <c r="B132" s="1" t="s">
        <v>141</v>
      </c>
      <c r="C132" s="1">
        <v>53</v>
      </c>
      <c r="D132" s="1" t="s">
        <v>10</v>
      </c>
      <c r="E132" s="1">
        <v>9</v>
      </c>
      <c r="F132" s="2">
        <v>45823</v>
      </c>
      <c r="G132" s="2">
        <v>45829</v>
      </c>
      <c r="H132" s="1">
        <v>1</v>
      </c>
      <c r="I132" s="1">
        <v>3500</v>
      </c>
      <c r="J132" t="str">
        <f>VLOOKUP(E132,Dignosis!$A$1:$B$11,2,)</f>
        <v>Kidney Disease</v>
      </c>
      <c r="K132" t="str">
        <f>VLOOKUP(H132,patients!$A$1:$B$4,2,)</f>
        <v>Edward Montes</v>
      </c>
      <c r="L132">
        <f t="shared" si="4"/>
        <v>6</v>
      </c>
      <c r="M132" t="str">
        <f>IF(VLOOKUP(A132,labs!A132:E331,3,FALSE)&gt;120,"high",)</f>
        <v>high</v>
      </c>
      <c r="N132" t="str">
        <f t="shared" si="5"/>
        <v>high risk</v>
      </c>
    </row>
    <row r="133" spans="1:14" x14ac:dyDescent="0.25">
      <c r="A133" s="1">
        <v>132</v>
      </c>
      <c r="B133" s="1" t="s">
        <v>142</v>
      </c>
      <c r="C133" s="1">
        <v>40</v>
      </c>
      <c r="D133" s="1" t="s">
        <v>14</v>
      </c>
      <c r="E133" s="1">
        <v>5</v>
      </c>
      <c r="F133" s="2">
        <v>45774</v>
      </c>
      <c r="G133" s="2">
        <v>45780</v>
      </c>
      <c r="H133" s="1">
        <v>3</v>
      </c>
      <c r="I133" s="1">
        <v>2285</v>
      </c>
      <c r="J133" t="str">
        <f>VLOOKUP(E133,Dignosis!$A$1:$B$11,2,)</f>
        <v>Stroke</v>
      </c>
      <c r="K133" t="str">
        <f>VLOOKUP(H133,patients!$A$1:$B$4,2,)</f>
        <v>Gina Alexander</v>
      </c>
      <c r="L133">
        <f t="shared" si="4"/>
        <v>6</v>
      </c>
      <c r="M133" t="str">
        <f>IF(VLOOKUP(A133,labs!A133:E332,3,FALSE)&gt;120,"high",)</f>
        <v>high</v>
      </c>
      <c r="N133" t="str">
        <f t="shared" si="5"/>
        <v>high risk</v>
      </c>
    </row>
    <row r="134" spans="1:14" x14ac:dyDescent="0.25">
      <c r="A134" s="1">
        <v>133</v>
      </c>
      <c r="B134" s="1" t="s">
        <v>143</v>
      </c>
      <c r="C134" s="1">
        <v>80</v>
      </c>
      <c r="D134" s="1" t="s">
        <v>10</v>
      </c>
      <c r="E134" s="1">
        <v>1</v>
      </c>
      <c r="F134" s="2">
        <v>45791</v>
      </c>
      <c r="G134" s="2">
        <v>45795</v>
      </c>
      <c r="H134" s="1">
        <v>3</v>
      </c>
      <c r="I134" s="1">
        <v>9311</v>
      </c>
      <c r="J134" t="str">
        <f>VLOOKUP(E134,Dignosis!$A$1:$B$11,2,)</f>
        <v>Hypertension</v>
      </c>
      <c r="K134" t="str">
        <f>VLOOKUP(H134,patients!$A$1:$B$4,2,)</f>
        <v>Gina Alexander</v>
      </c>
      <c r="L134">
        <f t="shared" si="4"/>
        <v>4</v>
      </c>
      <c r="M134" t="str">
        <f>IF(VLOOKUP(A134,labs!A134:E333,3,FALSE)&gt;120,"high",)</f>
        <v>high</v>
      </c>
      <c r="N134" t="str">
        <f t="shared" si="5"/>
        <v>low risk</v>
      </c>
    </row>
    <row r="135" spans="1:14" x14ac:dyDescent="0.25">
      <c r="A135" s="1">
        <v>134</v>
      </c>
      <c r="B135" s="1" t="s">
        <v>144</v>
      </c>
      <c r="C135" s="1">
        <v>46</v>
      </c>
      <c r="D135" s="1" t="s">
        <v>10</v>
      </c>
      <c r="E135" s="1">
        <v>10</v>
      </c>
      <c r="F135" s="2">
        <v>45715</v>
      </c>
      <c r="G135" s="2">
        <v>45722</v>
      </c>
      <c r="H135" s="1">
        <v>2</v>
      </c>
      <c r="I135" s="1">
        <v>5495</v>
      </c>
      <c r="J135" t="str">
        <f>VLOOKUP(E135,Dignosis!$A$1:$B$11,2,)</f>
        <v>Liver Disease</v>
      </c>
      <c r="K135" t="str">
        <f>VLOOKUP(H135,patients!$A$1:$B$4,2,)</f>
        <v>Jessica Zimmerman</v>
      </c>
      <c r="L135">
        <f t="shared" si="4"/>
        <v>7</v>
      </c>
      <c r="M135" t="str">
        <f>IF(VLOOKUP(A135,labs!A135:E334,3,FALSE)&gt;120,"high",)</f>
        <v>high</v>
      </c>
      <c r="N135" t="str">
        <f t="shared" si="5"/>
        <v>high risk</v>
      </c>
    </row>
    <row r="136" spans="1:14" x14ac:dyDescent="0.25">
      <c r="A136" s="1">
        <v>135</v>
      </c>
      <c r="B136" s="1" t="s">
        <v>145</v>
      </c>
      <c r="C136" s="1">
        <v>37</v>
      </c>
      <c r="D136" s="1" t="s">
        <v>14</v>
      </c>
      <c r="E136" s="1">
        <v>10</v>
      </c>
      <c r="F136" s="2">
        <v>45701</v>
      </c>
      <c r="G136" s="2">
        <v>45760</v>
      </c>
      <c r="H136" s="1">
        <v>2</v>
      </c>
      <c r="I136" s="1">
        <v>9186</v>
      </c>
      <c r="J136" t="str">
        <f>VLOOKUP(E136,Dignosis!$A$1:$B$11,2,)</f>
        <v>Liver Disease</v>
      </c>
      <c r="K136" t="str">
        <f>VLOOKUP(H136,patients!$A$1:$B$4,2,)</f>
        <v>Jessica Zimmerman</v>
      </c>
      <c r="L136">
        <f t="shared" si="4"/>
        <v>59</v>
      </c>
      <c r="M136" t="str">
        <f>IF(VLOOKUP(A136,labs!A136:E335,3,FALSE)&gt;120,"high",)</f>
        <v>high</v>
      </c>
      <c r="N136" t="str">
        <f t="shared" si="5"/>
        <v>high risk</v>
      </c>
    </row>
    <row r="137" spans="1:14" x14ac:dyDescent="0.25">
      <c r="A137" s="1">
        <v>136</v>
      </c>
      <c r="B137" s="1" t="s">
        <v>146</v>
      </c>
      <c r="C137" s="1">
        <v>64</v>
      </c>
      <c r="D137" s="1" t="s">
        <v>14</v>
      </c>
      <c r="E137" s="1">
        <v>1</v>
      </c>
      <c r="F137" s="2">
        <v>45830</v>
      </c>
      <c r="G137" s="2">
        <v>45835</v>
      </c>
      <c r="H137" s="1">
        <v>1</v>
      </c>
      <c r="I137" s="1">
        <v>4065</v>
      </c>
      <c r="J137" t="str">
        <f>VLOOKUP(E137,Dignosis!$A$1:$B$11,2,)</f>
        <v>Hypertension</v>
      </c>
      <c r="K137" t="str">
        <f>VLOOKUP(H137,patients!$A$1:$B$4,2,)</f>
        <v>Edward Montes</v>
      </c>
      <c r="L137">
        <f t="shared" si="4"/>
        <v>5</v>
      </c>
      <c r="M137" t="str">
        <f>IF(VLOOKUP(A137,labs!A137:E336,3,FALSE)&gt;120,"high",)</f>
        <v>high</v>
      </c>
      <c r="N137" t="str">
        <f t="shared" si="5"/>
        <v>high risk</v>
      </c>
    </row>
    <row r="138" spans="1:14" x14ac:dyDescent="0.25">
      <c r="A138" s="1">
        <v>137</v>
      </c>
      <c r="B138" s="1" t="s">
        <v>147</v>
      </c>
      <c r="C138" s="1">
        <v>64</v>
      </c>
      <c r="D138" s="1" t="s">
        <v>10</v>
      </c>
      <c r="E138" s="1">
        <v>2</v>
      </c>
      <c r="F138" s="2">
        <v>45817</v>
      </c>
      <c r="G138" s="2">
        <v>45819</v>
      </c>
      <c r="H138" s="1">
        <v>3</v>
      </c>
      <c r="I138" s="1">
        <v>2768</v>
      </c>
      <c r="J138" t="str">
        <f>VLOOKUP(E138,Dignosis!$A$1:$B$11,2,)</f>
        <v>Diabetes</v>
      </c>
      <c r="K138" t="str">
        <f>VLOOKUP(H138,patients!$A$1:$B$4,2,)</f>
        <v>Gina Alexander</v>
      </c>
      <c r="L138">
        <f t="shared" si="4"/>
        <v>2</v>
      </c>
      <c r="M138" t="str">
        <f>IF(VLOOKUP(A138,labs!A138:E337,3,FALSE)&gt;120,"high",)</f>
        <v>high</v>
      </c>
      <c r="N138" t="str">
        <f t="shared" si="5"/>
        <v>high risk</v>
      </c>
    </row>
    <row r="139" spans="1:14" x14ac:dyDescent="0.25">
      <c r="A139" s="1">
        <v>138</v>
      </c>
      <c r="B139" s="1" t="s">
        <v>148</v>
      </c>
      <c r="C139" s="1">
        <v>62</v>
      </c>
      <c r="D139" s="1" t="s">
        <v>14</v>
      </c>
      <c r="E139" s="1">
        <v>6</v>
      </c>
      <c r="F139" s="2">
        <v>45830</v>
      </c>
      <c r="G139" s="2">
        <v>45840</v>
      </c>
      <c r="H139" s="1">
        <v>3</v>
      </c>
      <c r="I139" s="1">
        <v>8733</v>
      </c>
      <c r="J139" t="str">
        <f>VLOOKUP(E139,Dignosis!$A$1:$B$11,2,)</f>
        <v>COPD</v>
      </c>
      <c r="K139" t="str">
        <f>VLOOKUP(H139,patients!$A$1:$B$4,2,)</f>
        <v>Gina Alexander</v>
      </c>
      <c r="L139">
        <f t="shared" si="4"/>
        <v>10</v>
      </c>
      <c r="M139" t="str">
        <f>IF(VLOOKUP(A139,labs!A139:E338,3,FALSE)&gt;120,"high",)</f>
        <v>high</v>
      </c>
      <c r="N139" t="str">
        <f t="shared" si="5"/>
        <v>high risk</v>
      </c>
    </row>
    <row r="140" spans="1:14" x14ac:dyDescent="0.25">
      <c r="A140" s="1">
        <v>139</v>
      </c>
      <c r="B140" s="1" t="s">
        <v>149</v>
      </c>
      <c r="C140" s="1">
        <v>88</v>
      </c>
      <c r="D140" s="1" t="s">
        <v>14</v>
      </c>
      <c r="E140" s="1">
        <v>9</v>
      </c>
      <c r="F140" s="2">
        <v>45718</v>
      </c>
      <c r="G140" s="2">
        <v>45727</v>
      </c>
      <c r="H140" s="1">
        <v>3</v>
      </c>
      <c r="I140" s="1">
        <v>7490</v>
      </c>
      <c r="J140" t="str">
        <f>VLOOKUP(E140,Dignosis!$A$1:$B$11,2,)</f>
        <v>Kidney Disease</v>
      </c>
      <c r="K140" t="str">
        <f>VLOOKUP(H140,patients!$A$1:$B$4,2,)</f>
        <v>Gina Alexander</v>
      </c>
      <c r="L140">
        <f t="shared" si="4"/>
        <v>9</v>
      </c>
      <c r="M140" t="str">
        <f>IF(VLOOKUP(A140,labs!A140:E339,3,FALSE)&gt;120,"high",)</f>
        <v>high</v>
      </c>
      <c r="N140" t="str">
        <f t="shared" si="5"/>
        <v>low risk</v>
      </c>
    </row>
    <row r="141" spans="1:14" x14ac:dyDescent="0.25">
      <c r="A141" s="1">
        <v>140</v>
      </c>
      <c r="B141" s="1" t="s">
        <v>150</v>
      </c>
      <c r="C141" s="1">
        <v>34</v>
      </c>
      <c r="D141" s="1" t="s">
        <v>10</v>
      </c>
      <c r="E141" s="1">
        <v>8</v>
      </c>
      <c r="F141" s="2">
        <v>45704</v>
      </c>
      <c r="G141" s="2">
        <v>45747</v>
      </c>
      <c r="H141" s="1">
        <v>2</v>
      </c>
      <c r="I141" s="1">
        <v>9342</v>
      </c>
      <c r="J141" t="str">
        <f>VLOOKUP(E141,Dignosis!$A$1:$B$11,2,)</f>
        <v>Arthritis</v>
      </c>
      <c r="K141" t="str">
        <f>VLOOKUP(H141,patients!$A$1:$B$4,2,)</f>
        <v>Jessica Zimmerman</v>
      </c>
      <c r="L141">
        <f t="shared" si="4"/>
        <v>43</v>
      </c>
      <c r="M141" t="str">
        <f>IF(VLOOKUP(A141,labs!A141:E340,3,FALSE)&gt;120,"high",)</f>
        <v>high</v>
      </c>
      <c r="N141" t="str">
        <f t="shared" si="5"/>
        <v>high risk</v>
      </c>
    </row>
    <row r="142" spans="1:14" x14ac:dyDescent="0.25">
      <c r="A142" s="1">
        <v>141</v>
      </c>
      <c r="B142" s="1" t="s">
        <v>151</v>
      </c>
      <c r="C142" s="1">
        <v>71</v>
      </c>
      <c r="D142" s="1" t="s">
        <v>10</v>
      </c>
      <c r="E142" s="1">
        <v>5</v>
      </c>
      <c r="F142" s="2">
        <v>45806</v>
      </c>
      <c r="G142" s="2">
        <v>45809</v>
      </c>
      <c r="H142" s="1">
        <v>2</v>
      </c>
      <c r="I142" s="1">
        <v>5057</v>
      </c>
      <c r="J142" t="str">
        <f>VLOOKUP(E142,Dignosis!$A$1:$B$11,2,)</f>
        <v>Stroke</v>
      </c>
      <c r="K142" t="str">
        <f>VLOOKUP(H142,patients!$A$1:$B$4,2,)</f>
        <v>Jessica Zimmerman</v>
      </c>
      <c r="L142">
        <f t="shared" si="4"/>
        <v>3</v>
      </c>
      <c r="M142" t="str">
        <f>IF(VLOOKUP(A142,labs!A142:E341,3,FALSE)&gt;120,"high",)</f>
        <v>high</v>
      </c>
      <c r="N142" t="str">
        <f t="shared" si="5"/>
        <v>low risk</v>
      </c>
    </row>
    <row r="143" spans="1:14" x14ac:dyDescent="0.25">
      <c r="A143" s="1">
        <v>142</v>
      </c>
      <c r="B143" s="1" t="s">
        <v>152</v>
      </c>
      <c r="C143" s="1">
        <v>68</v>
      </c>
      <c r="D143" s="1" t="s">
        <v>14</v>
      </c>
      <c r="E143" s="1">
        <v>1</v>
      </c>
      <c r="F143" s="2">
        <v>45737</v>
      </c>
      <c r="G143" s="2">
        <v>45746</v>
      </c>
      <c r="H143" s="1">
        <v>3</v>
      </c>
      <c r="I143" s="1">
        <v>6289</v>
      </c>
      <c r="J143" t="str">
        <f>VLOOKUP(E143,Dignosis!$A$1:$B$11,2,)</f>
        <v>Hypertension</v>
      </c>
      <c r="K143" t="str">
        <f>VLOOKUP(H143,patients!$A$1:$B$4,2,)</f>
        <v>Gina Alexander</v>
      </c>
      <c r="L143">
        <f t="shared" si="4"/>
        <v>9</v>
      </c>
      <c r="M143" t="str">
        <f>IF(VLOOKUP(A143,labs!A143:E342,3,FALSE)&gt;120,"high",)</f>
        <v>high</v>
      </c>
      <c r="N143" t="str">
        <f t="shared" si="5"/>
        <v>low risk</v>
      </c>
    </row>
    <row r="144" spans="1:14" x14ac:dyDescent="0.25">
      <c r="A144" s="1">
        <v>143</v>
      </c>
      <c r="B144" s="1" t="s">
        <v>153</v>
      </c>
      <c r="C144" s="1">
        <v>87</v>
      </c>
      <c r="D144" s="1" t="s">
        <v>10</v>
      </c>
      <c r="E144" s="1">
        <v>7</v>
      </c>
      <c r="F144" s="2">
        <v>45775</v>
      </c>
      <c r="G144" s="2">
        <v>45779</v>
      </c>
      <c r="H144" s="1">
        <v>3</v>
      </c>
      <c r="I144" s="1">
        <v>8645</v>
      </c>
      <c r="J144" t="str">
        <f>VLOOKUP(E144,Dignosis!$A$1:$B$11,2,)</f>
        <v>Cancer</v>
      </c>
      <c r="K144" t="str">
        <f>VLOOKUP(H144,patients!$A$1:$B$4,2,)</f>
        <v>Gina Alexander</v>
      </c>
      <c r="L144">
        <f t="shared" si="4"/>
        <v>4</v>
      </c>
      <c r="M144" t="str">
        <f>IF(VLOOKUP(A144,labs!A144:E343,3,FALSE)&gt;120,"high",)</f>
        <v>high</v>
      </c>
      <c r="N144" t="str">
        <f t="shared" si="5"/>
        <v>low risk</v>
      </c>
    </row>
    <row r="145" spans="1:14" x14ac:dyDescent="0.25">
      <c r="A145" s="1">
        <v>144</v>
      </c>
      <c r="B145" s="1" t="s">
        <v>154</v>
      </c>
      <c r="C145" s="1">
        <v>70</v>
      </c>
      <c r="D145" s="1" t="s">
        <v>10</v>
      </c>
      <c r="E145" s="1">
        <v>5</v>
      </c>
      <c r="F145" s="2">
        <v>45821</v>
      </c>
      <c r="G145" s="2">
        <v>45824</v>
      </c>
      <c r="H145" s="1">
        <v>3</v>
      </c>
      <c r="I145" s="1">
        <v>7083</v>
      </c>
      <c r="J145" t="str">
        <f>VLOOKUP(E145,Dignosis!$A$1:$B$11,2,)</f>
        <v>Stroke</v>
      </c>
      <c r="K145" t="str">
        <f>VLOOKUP(H145,patients!$A$1:$B$4,2,)</f>
        <v>Gina Alexander</v>
      </c>
      <c r="L145">
        <f t="shared" si="4"/>
        <v>3</v>
      </c>
      <c r="M145" t="str">
        <f>IF(VLOOKUP(A145,labs!A145:E344,3,FALSE)&gt;120,"high",)</f>
        <v>high</v>
      </c>
      <c r="N145" t="str">
        <f t="shared" si="5"/>
        <v>low risk</v>
      </c>
    </row>
    <row r="146" spans="1:14" x14ac:dyDescent="0.25">
      <c r="A146" s="1">
        <v>145</v>
      </c>
      <c r="B146" s="1" t="s">
        <v>155</v>
      </c>
      <c r="C146" s="1">
        <v>57</v>
      </c>
      <c r="D146" s="1" t="s">
        <v>14</v>
      </c>
      <c r="E146" s="1">
        <v>6</v>
      </c>
      <c r="F146" s="2">
        <v>45804</v>
      </c>
      <c r="G146" s="2">
        <v>45812</v>
      </c>
      <c r="H146" s="1">
        <v>2</v>
      </c>
      <c r="I146" s="1">
        <v>7232</v>
      </c>
      <c r="J146" t="str">
        <f>VLOOKUP(E146,Dignosis!$A$1:$B$11,2,)</f>
        <v>COPD</v>
      </c>
      <c r="K146" t="str">
        <f>VLOOKUP(H146,patients!$A$1:$B$4,2,)</f>
        <v>Jessica Zimmerman</v>
      </c>
      <c r="L146">
        <f t="shared" si="4"/>
        <v>8</v>
      </c>
      <c r="M146" t="str">
        <f>IF(VLOOKUP(A146,labs!A146:E345,3,FALSE)&gt;120,"high",)</f>
        <v>high</v>
      </c>
      <c r="N146" t="str">
        <f t="shared" si="5"/>
        <v>high risk</v>
      </c>
    </row>
    <row r="147" spans="1:14" x14ac:dyDescent="0.25">
      <c r="A147" s="1">
        <v>146</v>
      </c>
      <c r="B147" s="1" t="s">
        <v>156</v>
      </c>
      <c r="C147" s="1">
        <v>36</v>
      </c>
      <c r="D147" s="1" t="s">
        <v>10</v>
      </c>
      <c r="E147" s="1">
        <v>7</v>
      </c>
      <c r="F147" s="2">
        <v>45677</v>
      </c>
      <c r="G147" s="2">
        <v>45765</v>
      </c>
      <c r="H147" s="1">
        <v>3</v>
      </c>
      <c r="I147" s="1">
        <v>4161</v>
      </c>
      <c r="J147" t="str">
        <f>VLOOKUP(E147,Dignosis!$A$1:$B$11,2,)</f>
        <v>Cancer</v>
      </c>
      <c r="K147" t="str">
        <f>VLOOKUP(H147,patients!$A$1:$B$4,2,)</f>
        <v>Gina Alexander</v>
      </c>
      <c r="L147">
        <f t="shared" si="4"/>
        <v>88</v>
      </c>
      <c r="M147" t="str">
        <f>IF(VLOOKUP(A147,labs!A147:E346,3,FALSE)&gt;120,"high",)</f>
        <v>high</v>
      </c>
      <c r="N147" t="str">
        <f t="shared" si="5"/>
        <v>high risk</v>
      </c>
    </row>
    <row r="148" spans="1:14" x14ac:dyDescent="0.25">
      <c r="A148" s="1">
        <v>147</v>
      </c>
      <c r="B148" s="1" t="s">
        <v>157</v>
      </c>
      <c r="C148" s="1">
        <v>38</v>
      </c>
      <c r="D148" s="1" t="s">
        <v>10</v>
      </c>
      <c r="E148" s="1">
        <v>3</v>
      </c>
      <c r="F148" s="2">
        <v>45803</v>
      </c>
      <c r="G148" s="2">
        <v>45846</v>
      </c>
      <c r="H148" s="1">
        <v>3</v>
      </c>
      <c r="I148" s="1">
        <v>5293</v>
      </c>
      <c r="J148" t="str">
        <f>VLOOKUP(E148,Dignosis!$A$1:$B$11,2,)</f>
        <v>Heart Disease</v>
      </c>
      <c r="K148" t="str">
        <f>VLOOKUP(H148,patients!$A$1:$B$4,2,)</f>
        <v>Gina Alexander</v>
      </c>
      <c r="L148">
        <f t="shared" si="4"/>
        <v>43</v>
      </c>
      <c r="M148" t="str">
        <f>IF(VLOOKUP(A148,labs!A148:E347,3,FALSE)&gt;120,"high",)</f>
        <v>high</v>
      </c>
      <c r="N148" t="str">
        <f t="shared" si="5"/>
        <v>high risk</v>
      </c>
    </row>
    <row r="149" spans="1:14" x14ac:dyDescent="0.25">
      <c r="A149" s="1">
        <v>148</v>
      </c>
      <c r="B149" s="1" t="s">
        <v>158</v>
      </c>
      <c r="C149" s="1">
        <v>37</v>
      </c>
      <c r="D149" s="1" t="s">
        <v>14</v>
      </c>
      <c r="E149" s="1">
        <v>10</v>
      </c>
      <c r="F149" s="2">
        <v>45704</v>
      </c>
      <c r="G149" s="2">
        <v>45713</v>
      </c>
      <c r="H149" s="1">
        <v>1</v>
      </c>
      <c r="I149" s="1">
        <v>7797</v>
      </c>
      <c r="J149" t="str">
        <f>VLOOKUP(E149,Dignosis!$A$1:$B$11,2,)</f>
        <v>Liver Disease</v>
      </c>
      <c r="K149" t="str">
        <f>VLOOKUP(H149,patients!$A$1:$B$4,2,)</f>
        <v>Edward Montes</v>
      </c>
      <c r="L149">
        <f t="shared" si="4"/>
        <v>9</v>
      </c>
      <c r="M149" t="str">
        <f>IF(VLOOKUP(A149,labs!A149:E348,3,FALSE)&gt;120,"high",)</f>
        <v>high</v>
      </c>
      <c r="N149" t="str">
        <f t="shared" si="5"/>
        <v>high risk</v>
      </c>
    </row>
    <row r="150" spans="1:14" x14ac:dyDescent="0.25">
      <c r="A150" s="1">
        <v>149</v>
      </c>
      <c r="B150" s="1" t="s">
        <v>159</v>
      </c>
      <c r="C150" s="1">
        <v>41</v>
      </c>
      <c r="D150" s="1" t="s">
        <v>14</v>
      </c>
      <c r="E150" s="1">
        <v>3</v>
      </c>
      <c r="F150" s="2">
        <v>45706</v>
      </c>
      <c r="G150" s="2">
        <v>45793</v>
      </c>
      <c r="H150" s="1">
        <v>1</v>
      </c>
      <c r="I150" s="1">
        <v>2946</v>
      </c>
      <c r="J150" t="str">
        <f>VLOOKUP(E150,Dignosis!$A$1:$B$11,2,)</f>
        <v>Heart Disease</v>
      </c>
      <c r="K150" t="str">
        <f>VLOOKUP(H150,patients!$A$1:$B$4,2,)</f>
        <v>Edward Montes</v>
      </c>
      <c r="L150">
        <f t="shared" si="4"/>
        <v>87</v>
      </c>
      <c r="M150" t="str">
        <f>IF(VLOOKUP(A150,labs!A150:E349,3,FALSE)&gt;120,"high",)</f>
        <v>high</v>
      </c>
      <c r="N150" t="str">
        <f t="shared" si="5"/>
        <v>high risk</v>
      </c>
    </row>
    <row r="151" spans="1:14" x14ac:dyDescent="0.25">
      <c r="A151" s="1">
        <v>150</v>
      </c>
      <c r="B151" s="1" t="s">
        <v>160</v>
      </c>
      <c r="C151" s="1">
        <v>63</v>
      </c>
      <c r="D151" s="1" t="s">
        <v>10</v>
      </c>
      <c r="E151" s="1">
        <v>5</v>
      </c>
      <c r="F151" s="2">
        <v>45671</v>
      </c>
      <c r="G151" s="2">
        <v>45722</v>
      </c>
      <c r="H151" s="1">
        <v>2</v>
      </c>
      <c r="I151" s="1">
        <v>6926</v>
      </c>
      <c r="J151" t="str">
        <f>VLOOKUP(E151,Dignosis!$A$1:$B$11,2,)</f>
        <v>Stroke</v>
      </c>
      <c r="K151" t="str">
        <f>VLOOKUP(H151,patients!$A$1:$B$4,2,)</f>
        <v>Jessica Zimmerman</v>
      </c>
      <c r="L151">
        <f t="shared" si="4"/>
        <v>51</v>
      </c>
      <c r="M151" t="str">
        <f>IF(VLOOKUP(A151,labs!A151:E350,3,FALSE)&gt;120,"high",)</f>
        <v>high</v>
      </c>
      <c r="N151" t="str">
        <f t="shared" si="5"/>
        <v>high risk</v>
      </c>
    </row>
    <row r="152" spans="1:14" x14ac:dyDescent="0.25">
      <c r="A152" s="1">
        <v>151</v>
      </c>
      <c r="B152" s="1" t="s">
        <v>161</v>
      </c>
      <c r="C152" s="1">
        <v>62</v>
      </c>
      <c r="D152" s="1" t="s">
        <v>10</v>
      </c>
      <c r="E152" s="1">
        <v>6</v>
      </c>
      <c r="F152" s="2">
        <v>45800</v>
      </c>
      <c r="G152" s="2">
        <v>45807</v>
      </c>
      <c r="H152" s="1">
        <v>3</v>
      </c>
      <c r="I152" s="1">
        <v>9811</v>
      </c>
      <c r="J152" t="str">
        <f>VLOOKUP(E152,Dignosis!$A$1:$B$11,2,)</f>
        <v>COPD</v>
      </c>
      <c r="K152" t="str">
        <f>VLOOKUP(H152,patients!$A$1:$B$4,2,)</f>
        <v>Gina Alexander</v>
      </c>
      <c r="L152">
        <f t="shared" si="4"/>
        <v>7</v>
      </c>
      <c r="M152" t="str">
        <f>IF(VLOOKUP(A152,labs!A152:E351,3,FALSE)&gt;120,"high",)</f>
        <v>high</v>
      </c>
      <c r="N152" t="str">
        <f t="shared" si="5"/>
        <v>high risk</v>
      </c>
    </row>
    <row r="153" spans="1:14" x14ac:dyDescent="0.25">
      <c r="A153" s="1">
        <v>152</v>
      </c>
      <c r="B153" s="1" t="s">
        <v>162</v>
      </c>
      <c r="C153" s="1">
        <v>77</v>
      </c>
      <c r="D153" s="1" t="s">
        <v>14</v>
      </c>
      <c r="E153" s="1">
        <v>9</v>
      </c>
      <c r="F153" s="2">
        <v>45816</v>
      </c>
      <c r="G153" s="2">
        <v>45821</v>
      </c>
      <c r="H153" s="1">
        <v>3</v>
      </c>
      <c r="I153" s="1">
        <v>8016</v>
      </c>
      <c r="J153" t="str">
        <f>VLOOKUP(E153,Dignosis!$A$1:$B$11,2,)</f>
        <v>Kidney Disease</v>
      </c>
      <c r="K153" t="str">
        <f>VLOOKUP(H153,patients!$A$1:$B$4,2,)</f>
        <v>Gina Alexander</v>
      </c>
      <c r="L153">
        <f t="shared" si="4"/>
        <v>5</v>
      </c>
      <c r="M153" t="str">
        <f>IF(VLOOKUP(A153,labs!A153:E352,3,FALSE)&gt;120,"high",)</f>
        <v>high</v>
      </c>
      <c r="N153" t="str">
        <f t="shared" si="5"/>
        <v>low risk</v>
      </c>
    </row>
    <row r="154" spans="1:14" x14ac:dyDescent="0.25">
      <c r="A154" s="1">
        <v>153</v>
      </c>
      <c r="B154" s="1" t="s">
        <v>163</v>
      </c>
      <c r="C154" s="1">
        <v>84</v>
      </c>
      <c r="D154" s="1" t="s">
        <v>14</v>
      </c>
      <c r="E154" s="1">
        <v>5</v>
      </c>
      <c r="F154" s="2">
        <v>45658</v>
      </c>
      <c r="G154" s="2">
        <v>45744</v>
      </c>
      <c r="H154" s="1">
        <v>1</v>
      </c>
      <c r="I154" s="1">
        <v>5335</v>
      </c>
      <c r="J154" t="str">
        <f>VLOOKUP(E154,Dignosis!$A$1:$B$11,2,)</f>
        <v>Stroke</v>
      </c>
      <c r="K154" t="str">
        <f>VLOOKUP(H154,patients!$A$1:$B$4,2,)</f>
        <v>Edward Montes</v>
      </c>
      <c r="L154">
        <f t="shared" si="4"/>
        <v>86</v>
      </c>
      <c r="M154" t="str">
        <f>IF(VLOOKUP(A154,labs!A154:E353,3,FALSE)&gt;120,"high",)</f>
        <v>high</v>
      </c>
      <c r="N154" t="str">
        <f t="shared" si="5"/>
        <v>low risk</v>
      </c>
    </row>
    <row r="155" spans="1:14" x14ac:dyDescent="0.25">
      <c r="A155" s="1">
        <v>154</v>
      </c>
      <c r="B155" s="1" t="s">
        <v>164</v>
      </c>
      <c r="C155" s="1">
        <v>52</v>
      </c>
      <c r="D155" s="1" t="s">
        <v>14</v>
      </c>
      <c r="E155" s="1">
        <v>1</v>
      </c>
      <c r="F155" s="2">
        <v>45774</v>
      </c>
      <c r="G155" s="2">
        <v>45796</v>
      </c>
      <c r="H155" s="1">
        <v>2</v>
      </c>
      <c r="I155" s="1">
        <v>9068</v>
      </c>
      <c r="J155" t="str">
        <f>VLOOKUP(E155,Dignosis!$A$1:$B$11,2,)</f>
        <v>Hypertension</v>
      </c>
      <c r="K155" t="str">
        <f>VLOOKUP(H155,patients!$A$1:$B$4,2,)</f>
        <v>Jessica Zimmerman</v>
      </c>
      <c r="L155">
        <f t="shared" si="4"/>
        <v>22</v>
      </c>
      <c r="M155" t="str">
        <f>IF(VLOOKUP(A155,labs!A155:E354,3,FALSE)&gt;120,"high",)</f>
        <v>high</v>
      </c>
      <c r="N155" t="str">
        <f t="shared" si="5"/>
        <v>high risk</v>
      </c>
    </row>
    <row r="156" spans="1:14" x14ac:dyDescent="0.25">
      <c r="A156" s="1">
        <v>155</v>
      </c>
      <c r="B156" s="1" t="s">
        <v>165</v>
      </c>
      <c r="C156" s="1">
        <v>53</v>
      </c>
      <c r="D156" s="1" t="s">
        <v>14</v>
      </c>
      <c r="E156" s="1">
        <v>4</v>
      </c>
      <c r="F156" s="2">
        <v>45711</v>
      </c>
      <c r="G156" s="2">
        <v>45775</v>
      </c>
      <c r="H156" s="1">
        <v>1</v>
      </c>
      <c r="I156" s="1">
        <v>6150</v>
      </c>
      <c r="J156" t="str">
        <f>VLOOKUP(E156,Dignosis!$A$1:$B$11,2,)</f>
        <v>Asthma</v>
      </c>
      <c r="K156" t="str">
        <f>VLOOKUP(H156,patients!$A$1:$B$4,2,)</f>
        <v>Edward Montes</v>
      </c>
      <c r="L156">
        <f t="shared" si="4"/>
        <v>64</v>
      </c>
      <c r="M156" t="str">
        <f>IF(VLOOKUP(A156,labs!A156:E355,3,FALSE)&gt;120,"high",)</f>
        <v>high</v>
      </c>
      <c r="N156" t="str">
        <f t="shared" si="5"/>
        <v>high risk</v>
      </c>
    </row>
    <row r="157" spans="1:14" x14ac:dyDescent="0.25">
      <c r="A157" s="1">
        <v>156</v>
      </c>
      <c r="B157" s="1" t="s">
        <v>166</v>
      </c>
      <c r="C157" s="1">
        <v>66</v>
      </c>
      <c r="D157" s="1" t="s">
        <v>10</v>
      </c>
      <c r="E157" s="1">
        <v>5</v>
      </c>
      <c r="F157" s="2">
        <v>45775</v>
      </c>
      <c r="G157" s="2">
        <v>45820</v>
      </c>
      <c r="H157" s="1">
        <v>1</v>
      </c>
      <c r="I157" s="1">
        <v>9810</v>
      </c>
      <c r="J157" t="str">
        <f>VLOOKUP(E157,Dignosis!$A$1:$B$11,2,)</f>
        <v>Stroke</v>
      </c>
      <c r="K157" t="str">
        <f>VLOOKUP(H157,patients!$A$1:$B$4,2,)</f>
        <v>Edward Montes</v>
      </c>
      <c r="L157">
        <f t="shared" si="4"/>
        <v>45</v>
      </c>
      <c r="M157" t="str">
        <f>IF(VLOOKUP(A157,labs!A157:E356,3,FALSE)&gt;120,"high",)</f>
        <v>high</v>
      </c>
      <c r="N157" t="str">
        <f t="shared" si="5"/>
        <v>low risk</v>
      </c>
    </row>
    <row r="158" spans="1:14" x14ac:dyDescent="0.25">
      <c r="A158" s="1">
        <v>157</v>
      </c>
      <c r="B158" s="1" t="s">
        <v>167</v>
      </c>
      <c r="C158" s="1">
        <v>64</v>
      </c>
      <c r="D158" s="1" t="s">
        <v>14</v>
      </c>
      <c r="E158" s="1">
        <v>10</v>
      </c>
      <c r="F158" s="2">
        <v>45660</v>
      </c>
      <c r="G158" s="2">
        <v>45680</v>
      </c>
      <c r="H158" s="1">
        <v>1</v>
      </c>
      <c r="I158" s="1">
        <v>6895</v>
      </c>
      <c r="J158" t="str">
        <f>VLOOKUP(E158,Dignosis!$A$1:$B$11,2,)</f>
        <v>Liver Disease</v>
      </c>
      <c r="K158" t="str">
        <f>VLOOKUP(H158,patients!$A$1:$B$4,2,)</f>
        <v>Edward Montes</v>
      </c>
      <c r="L158">
        <f t="shared" si="4"/>
        <v>20</v>
      </c>
      <c r="M158" t="str">
        <f>IF(VLOOKUP(A158,labs!A158:E357,3,FALSE)&gt;120,"high",)</f>
        <v>high</v>
      </c>
      <c r="N158" t="str">
        <f t="shared" si="5"/>
        <v>high risk</v>
      </c>
    </row>
    <row r="159" spans="1:14" x14ac:dyDescent="0.25">
      <c r="A159" s="1">
        <v>158</v>
      </c>
      <c r="B159" s="1" t="s">
        <v>168</v>
      </c>
      <c r="C159" s="1">
        <v>73</v>
      </c>
      <c r="D159" s="1" t="s">
        <v>14</v>
      </c>
      <c r="E159" s="1">
        <v>10</v>
      </c>
      <c r="F159" s="2">
        <v>45801</v>
      </c>
      <c r="G159" s="2">
        <v>45810</v>
      </c>
      <c r="H159" s="1">
        <v>1</v>
      </c>
      <c r="I159" s="1">
        <v>6873</v>
      </c>
      <c r="J159" t="str">
        <f>VLOOKUP(E159,Dignosis!$A$1:$B$11,2,)</f>
        <v>Liver Disease</v>
      </c>
      <c r="K159" t="str">
        <f>VLOOKUP(H159,patients!$A$1:$B$4,2,)</f>
        <v>Edward Montes</v>
      </c>
      <c r="L159">
        <f t="shared" si="4"/>
        <v>9</v>
      </c>
      <c r="M159" t="str">
        <f>IF(VLOOKUP(A159,labs!A159:E358,3,FALSE)&gt;120,"high",)</f>
        <v>high</v>
      </c>
      <c r="N159" t="str">
        <f t="shared" si="5"/>
        <v>low risk</v>
      </c>
    </row>
    <row r="160" spans="1:14" x14ac:dyDescent="0.25">
      <c r="A160" s="1">
        <v>159</v>
      </c>
      <c r="B160" s="1" t="s">
        <v>169</v>
      </c>
      <c r="C160" s="1">
        <v>69</v>
      </c>
      <c r="D160" s="1" t="s">
        <v>10</v>
      </c>
      <c r="E160" s="1">
        <v>5</v>
      </c>
      <c r="F160" s="2">
        <v>45669</v>
      </c>
      <c r="G160" s="2">
        <v>45781</v>
      </c>
      <c r="H160" s="1">
        <v>3</v>
      </c>
      <c r="I160" s="1">
        <v>3481</v>
      </c>
      <c r="J160" t="str">
        <f>VLOOKUP(E160,Dignosis!$A$1:$B$11,2,)</f>
        <v>Stroke</v>
      </c>
      <c r="K160" t="str">
        <f>VLOOKUP(H160,patients!$A$1:$B$4,2,)</f>
        <v>Gina Alexander</v>
      </c>
      <c r="L160">
        <f t="shared" si="4"/>
        <v>112</v>
      </c>
      <c r="M160" t="str">
        <f>IF(VLOOKUP(A160,labs!A160:E359,3,FALSE)&gt;120,"high",)</f>
        <v>high</v>
      </c>
      <c r="N160" t="str">
        <f t="shared" si="5"/>
        <v>low risk</v>
      </c>
    </row>
    <row r="161" spans="1:14" x14ac:dyDescent="0.25">
      <c r="A161" s="1">
        <v>160</v>
      </c>
      <c r="B161" s="1" t="s">
        <v>170</v>
      </c>
      <c r="C161" s="1">
        <v>51</v>
      </c>
      <c r="D161" s="1" t="s">
        <v>14</v>
      </c>
      <c r="E161" s="1">
        <v>7</v>
      </c>
      <c r="F161" s="2">
        <v>45731</v>
      </c>
      <c r="G161" s="2">
        <v>45735</v>
      </c>
      <c r="H161" s="1">
        <v>3</v>
      </c>
      <c r="I161" s="1">
        <v>3901</v>
      </c>
      <c r="J161" t="str">
        <f>VLOOKUP(E161,Dignosis!$A$1:$B$11,2,)</f>
        <v>Cancer</v>
      </c>
      <c r="K161" t="str">
        <f>VLOOKUP(H161,patients!$A$1:$B$4,2,)</f>
        <v>Gina Alexander</v>
      </c>
      <c r="L161">
        <f t="shared" si="4"/>
        <v>4</v>
      </c>
      <c r="M161" t="str">
        <f>IF(VLOOKUP(A161,labs!A161:E360,3,FALSE)&gt;120,"high",)</f>
        <v>high</v>
      </c>
      <c r="N161" t="str">
        <f t="shared" si="5"/>
        <v>high risk</v>
      </c>
    </row>
    <row r="162" spans="1:14" x14ac:dyDescent="0.25">
      <c r="A162" s="1">
        <v>161</v>
      </c>
      <c r="B162" s="1" t="s">
        <v>171</v>
      </c>
      <c r="C162" s="1">
        <v>56</v>
      </c>
      <c r="D162" s="1" t="s">
        <v>10</v>
      </c>
      <c r="E162" s="1">
        <v>4</v>
      </c>
      <c r="F162" s="2">
        <v>45673</v>
      </c>
      <c r="G162" s="2">
        <v>45679</v>
      </c>
      <c r="H162" s="1">
        <v>1</v>
      </c>
      <c r="I162" s="1">
        <v>8305</v>
      </c>
      <c r="J162" t="str">
        <f>VLOOKUP(E162,Dignosis!$A$1:$B$11,2,)</f>
        <v>Asthma</v>
      </c>
      <c r="K162" t="str">
        <f>VLOOKUP(H162,patients!$A$1:$B$4,2,)</f>
        <v>Edward Montes</v>
      </c>
      <c r="L162">
        <f t="shared" si="4"/>
        <v>6</v>
      </c>
      <c r="M162" t="str">
        <f>IF(VLOOKUP(A162,labs!A162:E361,3,FALSE)&gt;120,"high",)</f>
        <v>high</v>
      </c>
      <c r="N162" t="str">
        <f t="shared" si="5"/>
        <v>high risk</v>
      </c>
    </row>
    <row r="163" spans="1:14" x14ac:dyDescent="0.25">
      <c r="A163" s="1">
        <v>162</v>
      </c>
      <c r="B163" s="1" t="s">
        <v>172</v>
      </c>
      <c r="C163" s="1">
        <v>64</v>
      </c>
      <c r="D163" s="1" t="s">
        <v>14</v>
      </c>
      <c r="E163" s="1">
        <v>1</v>
      </c>
      <c r="F163" s="2">
        <v>45759</v>
      </c>
      <c r="G163" s="2">
        <v>45777</v>
      </c>
      <c r="H163" s="1">
        <v>2</v>
      </c>
      <c r="I163" s="1">
        <v>5451</v>
      </c>
      <c r="J163" t="str">
        <f>VLOOKUP(E163,Dignosis!$A$1:$B$11,2,)</f>
        <v>Hypertension</v>
      </c>
      <c r="K163" t="str">
        <f>VLOOKUP(H163,patients!$A$1:$B$4,2,)</f>
        <v>Jessica Zimmerman</v>
      </c>
      <c r="L163">
        <f t="shared" si="4"/>
        <v>18</v>
      </c>
      <c r="M163" t="str">
        <f>IF(VLOOKUP(A163,labs!A163:E362,3,FALSE)&gt;120,"high",)</f>
        <v>high</v>
      </c>
      <c r="N163" t="str">
        <f t="shared" si="5"/>
        <v>high risk</v>
      </c>
    </row>
    <row r="164" spans="1:14" x14ac:dyDescent="0.25">
      <c r="A164" s="1">
        <v>163</v>
      </c>
      <c r="B164" s="1" t="s">
        <v>173</v>
      </c>
      <c r="C164" s="1">
        <v>30</v>
      </c>
      <c r="D164" s="1" t="s">
        <v>14</v>
      </c>
      <c r="E164" s="1">
        <v>5</v>
      </c>
      <c r="F164" s="2">
        <v>45809</v>
      </c>
      <c r="G164" s="2">
        <v>45817</v>
      </c>
      <c r="H164" s="1">
        <v>2</v>
      </c>
      <c r="I164" s="1">
        <v>6064</v>
      </c>
      <c r="J164" t="str">
        <f>VLOOKUP(E164,Dignosis!$A$1:$B$11,2,)</f>
        <v>Stroke</v>
      </c>
      <c r="K164" t="str">
        <f>VLOOKUP(H164,patients!$A$1:$B$4,2,)</f>
        <v>Jessica Zimmerman</v>
      </c>
      <c r="L164">
        <f t="shared" si="4"/>
        <v>8</v>
      </c>
      <c r="M164" t="str">
        <f>IF(VLOOKUP(A164,labs!A164:E363,3,FALSE)&gt;120,"high",)</f>
        <v>high</v>
      </c>
      <c r="N164" t="str">
        <f t="shared" si="5"/>
        <v>high risk</v>
      </c>
    </row>
    <row r="165" spans="1:14" x14ac:dyDescent="0.25">
      <c r="A165" s="1">
        <v>164</v>
      </c>
      <c r="B165" s="1" t="s">
        <v>174</v>
      </c>
      <c r="C165" s="1">
        <v>64</v>
      </c>
      <c r="D165" s="1" t="s">
        <v>14</v>
      </c>
      <c r="E165" s="1">
        <v>7</v>
      </c>
      <c r="F165" s="2">
        <v>45813</v>
      </c>
      <c r="G165" s="2">
        <v>45814</v>
      </c>
      <c r="H165" s="1">
        <v>2</v>
      </c>
      <c r="I165" s="1">
        <v>8230</v>
      </c>
      <c r="J165" t="str">
        <f>VLOOKUP(E165,Dignosis!$A$1:$B$11,2,)</f>
        <v>Cancer</v>
      </c>
      <c r="K165" t="str">
        <f>VLOOKUP(H165,patients!$A$1:$B$4,2,)</f>
        <v>Jessica Zimmerman</v>
      </c>
      <c r="L165">
        <f t="shared" si="4"/>
        <v>1</v>
      </c>
      <c r="M165" t="str">
        <f>IF(VLOOKUP(A165,labs!A165:E364,3,FALSE)&gt;120,"high",)</f>
        <v>high</v>
      </c>
      <c r="N165" t="str">
        <f t="shared" si="5"/>
        <v>high risk</v>
      </c>
    </row>
    <row r="166" spans="1:14" x14ac:dyDescent="0.25">
      <c r="A166" s="1">
        <v>165</v>
      </c>
      <c r="B166" s="1" t="s">
        <v>175</v>
      </c>
      <c r="C166" s="1">
        <v>66</v>
      </c>
      <c r="D166" s="1" t="s">
        <v>10</v>
      </c>
      <c r="E166" s="1">
        <v>10</v>
      </c>
      <c r="F166" s="2">
        <v>45774</v>
      </c>
      <c r="G166" s="2">
        <v>45778</v>
      </c>
      <c r="H166" s="1">
        <v>2</v>
      </c>
      <c r="I166" s="1">
        <v>2054</v>
      </c>
      <c r="J166" t="str">
        <f>VLOOKUP(E166,Dignosis!$A$1:$B$11,2,)</f>
        <v>Liver Disease</v>
      </c>
      <c r="K166" t="str">
        <f>VLOOKUP(H166,patients!$A$1:$B$4,2,)</f>
        <v>Jessica Zimmerman</v>
      </c>
      <c r="L166">
        <f t="shared" si="4"/>
        <v>4</v>
      </c>
      <c r="M166" t="str">
        <f>IF(VLOOKUP(A166,labs!A166:E365,3,FALSE)&gt;120,"high",)</f>
        <v>high</v>
      </c>
      <c r="N166" t="str">
        <f t="shared" si="5"/>
        <v>low risk</v>
      </c>
    </row>
    <row r="167" spans="1:14" x14ac:dyDescent="0.25">
      <c r="A167" s="1">
        <v>166</v>
      </c>
      <c r="B167" s="1" t="s">
        <v>176</v>
      </c>
      <c r="C167" s="1">
        <v>76</v>
      </c>
      <c r="D167" s="1" t="s">
        <v>10</v>
      </c>
      <c r="E167" s="1">
        <v>10</v>
      </c>
      <c r="F167" s="2">
        <v>45665</v>
      </c>
      <c r="G167" s="2">
        <v>45704</v>
      </c>
      <c r="H167" s="1">
        <v>1</v>
      </c>
      <c r="I167" s="1">
        <v>9643</v>
      </c>
      <c r="J167" t="str">
        <f>VLOOKUP(E167,Dignosis!$A$1:$B$11,2,)</f>
        <v>Liver Disease</v>
      </c>
      <c r="K167" t="str">
        <f>VLOOKUP(H167,patients!$A$1:$B$4,2,)</f>
        <v>Edward Montes</v>
      </c>
      <c r="L167">
        <f t="shared" si="4"/>
        <v>39</v>
      </c>
      <c r="M167" t="str">
        <f>IF(VLOOKUP(A167,labs!A167:E366,3,FALSE)&gt;120,"high",)</f>
        <v>high</v>
      </c>
      <c r="N167" t="str">
        <f t="shared" si="5"/>
        <v>low risk</v>
      </c>
    </row>
    <row r="168" spans="1:14" x14ac:dyDescent="0.25">
      <c r="A168" s="1">
        <v>167</v>
      </c>
      <c r="B168" s="1" t="s">
        <v>177</v>
      </c>
      <c r="C168" s="1">
        <v>43</v>
      </c>
      <c r="D168" s="1" t="s">
        <v>14</v>
      </c>
      <c r="E168" s="1">
        <v>6</v>
      </c>
      <c r="F168" s="2">
        <v>45779</v>
      </c>
      <c r="G168" s="2">
        <v>45781</v>
      </c>
      <c r="H168" s="1">
        <v>3</v>
      </c>
      <c r="I168" s="1">
        <v>3823</v>
      </c>
      <c r="J168" t="str">
        <f>VLOOKUP(E168,Dignosis!$A$1:$B$11,2,)</f>
        <v>COPD</v>
      </c>
      <c r="K168" t="str">
        <f>VLOOKUP(H168,patients!$A$1:$B$4,2,)</f>
        <v>Gina Alexander</v>
      </c>
      <c r="L168">
        <f t="shared" si="4"/>
        <v>2</v>
      </c>
      <c r="M168" t="str">
        <f>IF(VLOOKUP(A168,labs!A168:E367,3,FALSE)&gt;120,"high",)</f>
        <v>high</v>
      </c>
      <c r="N168" t="str">
        <f t="shared" si="5"/>
        <v>high risk</v>
      </c>
    </row>
    <row r="169" spans="1:14" x14ac:dyDescent="0.25">
      <c r="A169" s="1">
        <v>168</v>
      </c>
      <c r="B169" s="1" t="s">
        <v>178</v>
      </c>
      <c r="C169" s="1">
        <v>32</v>
      </c>
      <c r="D169" s="1" t="s">
        <v>10</v>
      </c>
      <c r="E169" s="1">
        <v>5</v>
      </c>
      <c r="F169" s="2">
        <v>45749</v>
      </c>
      <c r="G169" s="2">
        <v>45750</v>
      </c>
      <c r="H169" s="1">
        <v>2</v>
      </c>
      <c r="I169" s="1">
        <v>7297</v>
      </c>
      <c r="J169" t="str">
        <f>VLOOKUP(E169,Dignosis!$A$1:$B$11,2,)</f>
        <v>Stroke</v>
      </c>
      <c r="K169" t="str">
        <f>VLOOKUP(H169,patients!$A$1:$B$4,2,)</f>
        <v>Jessica Zimmerman</v>
      </c>
      <c r="L169">
        <f t="shared" si="4"/>
        <v>1</v>
      </c>
      <c r="M169" t="str">
        <f>IF(VLOOKUP(A169,labs!A169:E368,3,FALSE)&gt;120,"high",)</f>
        <v>high</v>
      </c>
      <c r="N169" t="str">
        <f t="shared" si="5"/>
        <v>high risk</v>
      </c>
    </row>
    <row r="170" spans="1:14" x14ac:dyDescent="0.25">
      <c r="A170" s="1">
        <v>169</v>
      </c>
      <c r="B170" s="1" t="s">
        <v>179</v>
      </c>
      <c r="C170" s="1">
        <v>30</v>
      </c>
      <c r="D170" s="1" t="s">
        <v>10</v>
      </c>
      <c r="E170" s="1">
        <v>4</v>
      </c>
      <c r="F170" s="2">
        <v>45821</v>
      </c>
      <c r="G170" s="2">
        <v>45827</v>
      </c>
      <c r="H170" s="1">
        <v>1</v>
      </c>
      <c r="I170" s="1">
        <v>5462</v>
      </c>
      <c r="J170" t="str">
        <f>VLOOKUP(E170,Dignosis!$A$1:$B$11,2,)</f>
        <v>Asthma</v>
      </c>
      <c r="K170" t="str">
        <f>VLOOKUP(H170,patients!$A$1:$B$4,2,)</f>
        <v>Edward Montes</v>
      </c>
      <c r="L170">
        <f t="shared" si="4"/>
        <v>6</v>
      </c>
      <c r="M170" t="str">
        <f>IF(VLOOKUP(A170,labs!A170:E369,3,FALSE)&gt;120,"high",)</f>
        <v>high</v>
      </c>
      <c r="N170" t="str">
        <f t="shared" si="5"/>
        <v>high risk</v>
      </c>
    </row>
    <row r="171" spans="1:14" x14ac:dyDescent="0.25">
      <c r="A171" s="1">
        <v>170</v>
      </c>
      <c r="B171" s="1" t="s">
        <v>180</v>
      </c>
      <c r="C171" s="1">
        <v>34</v>
      </c>
      <c r="D171" s="1" t="s">
        <v>10</v>
      </c>
      <c r="E171" s="1">
        <v>2</v>
      </c>
      <c r="F171" s="2">
        <v>45747</v>
      </c>
      <c r="G171" s="2">
        <v>45754</v>
      </c>
      <c r="H171" s="1">
        <v>2</v>
      </c>
      <c r="I171" s="1">
        <v>9516</v>
      </c>
      <c r="J171" t="str">
        <f>VLOOKUP(E171,Dignosis!$A$1:$B$11,2,)</f>
        <v>Diabetes</v>
      </c>
      <c r="K171" t="str">
        <f>VLOOKUP(H171,patients!$A$1:$B$4,2,)</f>
        <v>Jessica Zimmerman</v>
      </c>
      <c r="L171">
        <f t="shared" si="4"/>
        <v>7</v>
      </c>
      <c r="M171" t="str">
        <f>IF(VLOOKUP(A171,labs!A171:E370,3,FALSE)&gt;120,"high",)</f>
        <v>high</v>
      </c>
      <c r="N171" t="str">
        <f t="shared" si="5"/>
        <v>high risk</v>
      </c>
    </row>
    <row r="172" spans="1:14" x14ac:dyDescent="0.25">
      <c r="A172" s="1">
        <v>171</v>
      </c>
      <c r="B172" s="1" t="s">
        <v>181</v>
      </c>
      <c r="C172" s="1">
        <v>55</v>
      </c>
      <c r="D172" s="1" t="s">
        <v>10</v>
      </c>
      <c r="E172" s="1">
        <v>4</v>
      </c>
      <c r="F172" s="2">
        <v>45793</v>
      </c>
      <c r="G172" s="2">
        <v>45798</v>
      </c>
      <c r="H172" s="1">
        <v>2</v>
      </c>
      <c r="I172" s="1">
        <v>5079</v>
      </c>
      <c r="J172" t="str">
        <f>VLOOKUP(E172,Dignosis!$A$1:$B$11,2,)</f>
        <v>Asthma</v>
      </c>
      <c r="K172" t="str">
        <f>VLOOKUP(H172,patients!$A$1:$B$4,2,)</f>
        <v>Jessica Zimmerman</v>
      </c>
      <c r="L172">
        <f t="shared" si="4"/>
        <v>5</v>
      </c>
      <c r="M172" t="str">
        <f>IF(VLOOKUP(A172,labs!A172:E371,3,FALSE)&gt;120,"high",)</f>
        <v>high</v>
      </c>
      <c r="N172" t="str">
        <f t="shared" si="5"/>
        <v>high risk</v>
      </c>
    </row>
    <row r="173" spans="1:14" x14ac:dyDescent="0.25">
      <c r="A173" s="1">
        <v>172</v>
      </c>
      <c r="B173" s="1" t="s">
        <v>182</v>
      </c>
      <c r="C173" s="1">
        <v>84</v>
      </c>
      <c r="D173" s="1" t="s">
        <v>10</v>
      </c>
      <c r="E173" s="1">
        <v>10</v>
      </c>
      <c r="F173" s="2">
        <v>45717</v>
      </c>
      <c r="G173" s="2">
        <v>45719</v>
      </c>
      <c r="H173" s="1">
        <v>1</v>
      </c>
      <c r="I173" s="1">
        <v>2832</v>
      </c>
      <c r="J173" t="str">
        <f>VLOOKUP(E173,Dignosis!$A$1:$B$11,2,)</f>
        <v>Liver Disease</v>
      </c>
      <c r="K173" t="str">
        <f>VLOOKUP(H173,patients!$A$1:$B$4,2,)</f>
        <v>Edward Montes</v>
      </c>
      <c r="L173">
        <f t="shared" si="4"/>
        <v>2</v>
      </c>
      <c r="M173" t="str">
        <f>IF(VLOOKUP(A173,labs!A173:E372,3,FALSE)&gt;120,"high",)</f>
        <v>high</v>
      </c>
      <c r="N173" t="str">
        <f t="shared" si="5"/>
        <v>low risk</v>
      </c>
    </row>
    <row r="174" spans="1:14" x14ac:dyDescent="0.25">
      <c r="A174" s="1">
        <v>173</v>
      </c>
      <c r="B174" s="1" t="s">
        <v>183</v>
      </c>
      <c r="C174" s="1">
        <v>43</v>
      </c>
      <c r="D174" s="1" t="s">
        <v>10</v>
      </c>
      <c r="E174" s="1">
        <v>10</v>
      </c>
      <c r="F174" s="2">
        <v>45835</v>
      </c>
      <c r="G174" s="2">
        <v>45839</v>
      </c>
      <c r="H174" s="1">
        <v>3</v>
      </c>
      <c r="I174" s="1">
        <v>6408</v>
      </c>
      <c r="J174" t="str">
        <f>VLOOKUP(E174,Dignosis!$A$1:$B$11,2,)</f>
        <v>Liver Disease</v>
      </c>
      <c r="K174" t="str">
        <f>VLOOKUP(H174,patients!$A$1:$B$4,2,)</f>
        <v>Gina Alexander</v>
      </c>
      <c r="L174">
        <f t="shared" si="4"/>
        <v>4</v>
      </c>
      <c r="M174" t="str">
        <f>IF(VLOOKUP(A174,labs!A174:E373,3,FALSE)&gt;120,"high",)</f>
        <v>high</v>
      </c>
      <c r="N174" t="str">
        <f t="shared" si="5"/>
        <v>high risk</v>
      </c>
    </row>
    <row r="175" spans="1:14" x14ac:dyDescent="0.25">
      <c r="A175" s="1">
        <v>174</v>
      </c>
      <c r="B175" s="1" t="s">
        <v>184</v>
      </c>
      <c r="C175" s="1">
        <v>68</v>
      </c>
      <c r="D175" s="1" t="s">
        <v>14</v>
      </c>
      <c r="E175" s="1">
        <v>3</v>
      </c>
      <c r="F175" s="2">
        <v>45685</v>
      </c>
      <c r="G175" s="2">
        <v>45792</v>
      </c>
      <c r="H175" s="1">
        <v>3</v>
      </c>
      <c r="I175" s="1">
        <v>4806</v>
      </c>
      <c r="J175" t="str">
        <f>VLOOKUP(E175,Dignosis!$A$1:$B$11,2,)</f>
        <v>Heart Disease</v>
      </c>
      <c r="K175" t="str">
        <f>VLOOKUP(H175,patients!$A$1:$B$4,2,)</f>
        <v>Gina Alexander</v>
      </c>
      <c r="L175">
        <f t="shared" si="4"/>
        <v>107</v>
      </c>
      <c r="M175" t="str">
        <f>IF(VLOOKUP(A175,labs!A175:E374,3,FALSE)&gt;120,"high",)</f>
        <v>high</v>
      </c>
      <c r="N175" t="str">
        <f t="shared" si="5"/>
        <v>low risk</v>
      </c>
    </row>
    <row r="176" spans="1:14" x14ac:dyDescent="0.25">
      <c r="A176" s="1">
        <v>175</v>
      </c>
      <c r="B176" s="1" t="s">
        <v>185</v>
      </c>
      <c r="C176" s="1">
        <v>56</v>
      </c>
      <c r="D176" s="1" t="s">
        <v>14</v>
      </c>
      <c r="E176" s="1">
        <v>10</v>
      </c>
      <c r="F176" s="2">
        <v>45758</v>
      </c>
      <c r="G176" s="2">
        <v>45768</v>
      </c>
      <c r="H176" s="1">
        <v>1</v>
      </c>
      <c r="I176" s="1">
        <v>7954</v>
      </c>
      <c r="J176" t="str">
        <f>VLOOKUP(E176,Dignosis!$A$1:$B$11,2,)</f>
        <v>Liver Disease</v>
      </c>
      <c r="K176" t="str">
        <f>VLOOKUP(H176,patients!$A$1:$B$4,2,)</f>
        <v>Edward Montes</v>
      </c>
      <c r="L176">
        <f t="shared" si="4"/>
        <v>10</v>
      </c>
      <c r="M176" t="str">
        <f>IF(VLOOKUP(A176,labs!A176:E375,3,FALSE)&gt;120,"high",)</f>
        <v>high</v>
      </c>
      <c r="N176" t="str">
        <f t="shared" si="5"/>
        <v>high risk</v>
      </c>
    </row>
    <row r="177" spans="1:14" x14ac:dyDescent="0.25">
      <c r="A177" s="1">
        <v>176</v>
      </c>
      <c r="B177" s="1" t="s">
        <v>186</v>
      </c>
      <c r="C177" s="1">
        <v>38</v>
      </c>
      <c r="D177" s="1" t="s">
        <v>10</v>
      </c>
      <c r="E177" s="1">
        <v>1</v>
      </c>
      <c r="F177" s="2">
        <v>45698</v>
      </c>
      <c r="G177" s="2">
        <v>45704</v>
      </c>
      <c r="H177" s="1">
        <v>3</v>
      </c>
      <c r="I177" s="1">
        <v>8103</v>
      </c>
      <c r="J177" t="str">
        <f>VLOOKUP(E177,Dignosis!$A$1:$B$11,2,)</f>
        <v>Hypertension</v>
      </c>
      <c r="K177" t="str">
        <f>VLOOKUP(H177,patients!$A$1:$B$4,2,)</f>
        <v>Gina Alexander</v>
      </c>
      <c r="L177">
        <f t="shared" si="4"/>
        <v>6</v>
      </c>
      <c r="M177" t="str">
        <f>IF(VLOOKUP(A177,labs!A177:E376,3,FALSE)&gt;120,"high",)</f>
        <v>high</v>
      </c>
      <c r="N177" t="str">
        <f t="shared" si="5"/>
        <v>high risk</v>
      </c>
    </row>
    <row r="178" spans="1:14" x14ac:dyDescent="0.25">
      <c r="A178" s="1">
        <v>177</v>
      </c>
      <c r="B178" s="1" t="s">
        <v>187</v>
      </c>
      <c r="C178" s="1">
        <v>44</v>
      </c>
      <c r="D178" s="1" t="s">
        <v>14</v>
      </c>
      <c r="E178" s="1">
        <v>8</v>
      </c>
      <c r="F178" s="2">
        <v>45812</v>
      </c>
      <c r="G178" s="2">
        <v>45816</v>
      </c>
      <c r="H178" s="1">
        <v>1</v>
      </c>
      <c r="I178" s="1">
        <v>8102</v>
      </c>
      <c r="J178" t="str">
        <f>VLOOKUP(E178,Dignosis!$A$1:$B$11,2,)</f>
        <v>Arthritis</v>
      </c>
      <c r="K178" t="str">
        <f>VLOOKUP(H178,patients!$A$1:$B$4,2,)</f>
        <v>Edward Montes</v>
      </c>
      <c r="L178">
        <f t="shared" si="4"/>
        <v>4</v>
      </c>
      <c r="M178" t="str">
        <f>IF(VLOOKUP(A178,labs!A178:E377,3,FALSE)&gt;120,"high",)</f>
        <v>high</v>
      </c>
      <c r="N178" t="str">
        <f t="shared" si="5"/>
        <v>high risk</v>
      </c>
    </row>
    <row r="179" spans="1:14" x14ac:dyDescent="0.25">
      <c r="A179" s="1">
        <v>178</v>
      </c>
      <c r="B179" s="1" t="s">
        <v>188</v>
      </c>
      <c r="C179" s="1">
        <v>44</v>
      </c>
      <c r="D179" s="1" t="s">
        <v>14</v>
      </c>
      <c r="E179" s="1">
        <v>5</v>
      </c>
      <c r="F179" s="2">
        <v>45802</v>
      </c>
      <c r="G179" s="2">
        <v>45810</v>
      </c>
      <c r="H179" s="1">
        <v>1</v>
      </c>
      <c r="I179" s="1">
        <v>4490</v>
      </c>
      <c r="J179" t="str">
        <f>VLOOKUP(E179,Dignosis!$A$1:$B$11,2,)</f>
        <v>Stroke</v>
      </c>
      <c r="K179" t="str">
        <f>VLOOKUP(H179,patients!$A$1:$B$4,2,)</f>
        <v>Edward Montes</v>
      </c>
      <c r="L179">
        <f t="shared" si="4"/>
        <v>8</v>
      </c>
      <c r="M179" t="str">
        <f>IF(VLOOKUP(A179,labs!A179:E378,3,FALSE)&gt;120,"high",)</f>
        <v>high</v>
      </c>
      <c r="N179" t="str">
        <f t="shared" si="5"/>
        <v>high risk</v>
      </c>
    </row>
    <row r="180" spans="1:14" x14ac:dyDescent="0.25">
      <c r="A180" s="1">
        <v>179</v>
      </c>
      <c r="B180" s="1" t="s">
        <v>189</v>
      </c>
      <c r="C180" s="1">
        <v>55</v>
      </c>
      <c r="D180" s="1" t="s">
        <v>14</v>
      </c>
      <c r="E180" s="1">
        <v>4</v>
      </c>
      <c r="F180" s="2">
        <v>45818</v>
      </c>
      <c r="G180" s="2">
        <v>45825</v>
      </c>
      <c r="H180" s="1">
        <v>1</v>
      </c>
      <c r="I180" s="1">
        <v>7886</v>
      </c>
      <c r="J180" t="str">
        <f>VLOOKUP(E180,Dignosis!$A$1:$B$11,2,)</f>
        <v>Asthma</v>
      </c>
      <c r="K180" t="str">
        <f>VLOOKUP(H180,patients!$A$1:$B$4,2,)</f>
        <v>Edward Montes</v>
      </c>
      <c r="L180">
        <f t="shared" si="4"/>
        <v>7</v>
      </c>
      <c r="M180" t="str">
        <f>IF(VLOOKUP(A180,labs!A180:E379,3,FALSE)&gt;120,"high",)</f>
        <v>high</v>
      </c>
      <c r="N180" t="str">
        <f t="shared" si="5"/>
        <v>high risk</v>
      </c>
    </row>
    <row r="181" spans="1:14" x14ac:dyDescent="0.25">
      <c r="A181" s="1">
        <v>180</v>
      </c>
      <c r="B181" s="1" t="s">
        <v>190</v>
      </c>
      <c r="C181" s="1">
        <v>71</v>
      </c>
      <c r="D181" s="1" t="s">
        <v>14</v>
      </c>
      <c r="E181" s="1">
        <v>8</v>
      </c>
      <c r="F181" s="2">
        <v>45814</v>
      </c>
      <c r="G181" s="2">
        <v>45822</v>
      </c>
      <c r="H181" s="1">
        <v>3</v>
      </c>
      <c r="I181" s="1">
        <v>2327</v>
      </c>
      <c r="J181" t="str">
        <f>VLOOKUP(E181,Dignosis!$A$1:$B$11,2,)</f>
        <v>Arthritis</v>
      </c>
      <c r="K181" t="str">
        <f>VLOOKUP(H181,patients!$A$1:$B$4,2,)</f>
        <v>Gina Alexander</v>
      </c>
      <c r="L181">
        <f t="shared" si="4"/>
        <v>8</v>
      </c>
      <c r="M181" t="str">
        <f>IF(VLOOKUP(A181,labs!A181:E380,3,FALSE)&gt;120,"high",)</f>
        <v>high</v>
      </c>
      <c r="N181" t="str">
        <f t="shared" si="5"/>
        <v>low risk</v>
      </c>
    </row>
    <row r="182" spans="1:14" x14ac:dyDescent="0.25">
      <c r="A182" s="1">
        <v>181</v>
      </c>
      <c r="B182" s="1" t="s">
        <v>191</v>
      </c>
      <c r="C182" s="1">
        <v>89</v>
      </c>
      <c r="D182" s="1" t="s">
        <v>10</v>
      </c>
      <c r="E182" s="1">
        <v>7</v>
      </c>
      <c r="F182" s="2">
        <v>45798</v>
      </c>
      <c r="G182" s="2">
        <v>45804</v>
      </c>
      <c r="H182" s="1">
        <v>1</v>
      </c>
      <c r="I182" s="1">
        <v>9221</v>
      </c>
      <c r="J182" t="str">
        <f>VLOOKUP(E182,Dignosis!$A$1:$B$11,2,)</f>
        <v>Cancer</v>
      </c>
      <c r="K182" t="str">
        <f>VLOOKUP(H182,patients!$A$1:$B$4,2,)</f>
        <v>Edward Montes</v>
      </c>
      <c r="L182">
        <f t="shared" si="4"/>
        <v>6</v>
      </c>
      <c r="M182" t="str">
        <f>IF(VLOOKUP(A182,labs!A182:E381,3,FALSE)&gt;120,"high",)</f>
        <v>high</v>
      </c>
      <c r="N182" t="str">
        <f t="shared" si="5"/>
        <v>low risk</v>
      </c>
    </row>
    <row r="183" spans="1:14" x14ac:dyDescent="0.25">
      <c r="A183" s="1">
        <v>182</v>
      </c>
      <c r="B183" s="1" t="s">
        <v>192</v>
      </c>
      <c r="C183" s="1">
        <v>42</v>
      </c>
      <c r="D183" s="1" t="s">
        <v>14</v>
      </c>
      <c r="E183" s="1">
        <v>2</v>
      </c>
      <c r="F183" s="2">
        <v>45703</v>
      </c>
      <c r="G183" s="2">
        <v>45733</v>
      </c>
      <c r="H183" s="1">
        <v>2</v>
      </c>
      <c r="I183" s="1">
        <v>8904</v>
      </c>
      <c r="J183" t="str">
        <f>VLOOKUP(E183,Dignosis!$A$1:$B$11,2,)</f>
        <v>Diabetes</v>
      </c>
      <c r="K183" t="str">
        <f>VLOOKUP(H183,patients!$A$1:$B$4,2,)</f>
        <v>Jessica Zimmerman</v>
      </c>
      <c r="L183">
        <f t="shared" si="4"/>
        <v>30</v>
      </c>
      <c r="M183" t="str">
        <f>IF(VLOOKUP(A183,labs!A183:E382,3,FALSE)&gt;120,"high",)</f>
        <v>high</v>
      </c>
      <c r="N183" t="str">
        <f t="shared" si="5"/>
        <v>high risk</v>
      </c>
    </row>
    <row r="184" spans="1:14" x14ac:dyDescent="0.25">
      <c r="A184" s="1">
        <v>183</v>
      </c>
      <c r="B184" s="1" t="s">
        <v>193</v>
      </c>
      <c r="C184" s="1">
        <v>80</v>
      </c>
      <c r="D184" s="1" t="s">
        <v>14</v>
      </c>
      <c r="E184" s="1">
        <v>1</v>
      </c>
      <c r="F184" s="2">
        <v>45692</v>
      </c>
      <c r="G184" s="2">
        <v>45775</v>
      </c>
      <c r="H184" s="1">
        <v>3</v>
      </c>
      <c r="I184" s="1">
        <v>5310</v>
      </c>
      <c r="J184" t="str">
        <f>VLOOKUP(E184,Dignosis!$A$1:$B$11,2,)</f>
        <v>Hypertension</v>
      </c>
      <c r="K184" t="str">
        <f>VLOOKUP(H184,patients!$A$1:$B$4,2,)</f>
        <v>Gina Alexander</v>
      </c>
      <c r="L184">
        <f t="shared" si="4"/>
        <v>83</v>
      </c>
      <c r="M184" t="str">
        <f>IF(VLOOKUP(A184,labs!A184:E383,3,FALSE)&gt;120,"high",)</f>
        <v>high</v>
      </c>
      <c r="N184" t="str">
        <f t="shared" si="5"/>
        <v>low risk</v>
      </c>
    </row>
    <row r="185" spans="1:14" x14ac:dyDescent="0.25">
      <c r="A185" s="1">
        <v>184</v>
      </c>
      <c r="B185" s="1" t="s">
        <v>194</v>
      </c>
      <c r="C185" s="1">
        <v>61</v>
      </c>
      <c r="D185" s="1" t="s">
        <v>10</v>
      </c>
      <c r="E185" s="1">
        <v>4</v>
      </c>
      <c r="F185" s="2">
        <v>45791</v>
      </c>
      <c r="G185" s="2">
        <v>45812</v>
      </c>
      <c r="H185" s="1">
        <v>3</v>
      </c>
      <c r="I185" s="1">
        <v>5300</v>
      </c>
      <c r="J185" t="str">
        <f>VLOOKUP(E185,Dignosis!$A$1:$B$11,2,)</f>
        <v>Asthma</v>
      </c>
      <c r="K185" t="str">
        <f>VLOOKUP(H185,patients!$A$1:$B$4,2,)</f>
        <v>Gina Alexander</v>
      </c>
      <c r="L185">
        <f t="shared" si="4"/>
        <v>21</v>
      </c>
      <c r="M185" t="str">
        <f>IF(VLOOKUP(A185,labs!A185:E384,3,FALSE)&gt;120,"high",)</f>
        <v>high</v>
      </c>
      <c r="N185" t="str">
        <f t="shared" si="5"/>
        <v>high risk</v>
      </c>
    </row>
    <row r="186" spans="1:14" x14ac:dyDescent="0.25">
      <c r="A186" s="1">
        <v>185</v>
      </c>
      <c r="B186" s="1" t="s">
        <v>195</v>
      </c>
      <c r="C186" s="1">
        <v>68</v>
      </c>
      <c r="D186" s="1" t="s">
        <v>10</v>
      </c>
      <c r="E186" s="1">
        <v>8</v>
      </c>
      <c r="F186" s="2">
        <v>45739</v>
      </c>
      <c r="G186" s="2">
        <v>45777</v>
      </c>
      <c r="H186" s="1">
        <v>3</v>
      </c>
      <c r="I186" s="1">
        <v>8722</v>
      </c>
      <c r="J186" t="str">
        <f>VLOOKUP(E186,Dignosis!$A$1:$B$11,2,)</f>
        <v>Arthritis</v>
      </c>
      <c r="K186" t="str">
        <f>VLOOKUP(H186,patients!$A$1:$B$4,2,)</f>
        <v>Gina Alexander</v>
      </c>
      <c r="L186">
        <f t="shared" si="4"/>
        <v>38</v>
      </c>
      <c r="M186" t="str">
        <f>IF(VLOOKUP(A186,labs!A186:E385,3,FALSE)&gt;120,"high",)</f>
        <v>high</v>
      </c>
      <c r="N186" t="str">
        <f t="shared" si="5"/>
        <v>low risk</v>
      </c>
    </row>
    <row r="187" spans="1:14" x14ac:dyDescent="0.25">
      <c r="A187" s="1">
        <v>186</v>
      </c>
      <c r="B187" s="1" t="s">
        <v>196</v>
      </c>
      <c r="C187" s="1">
        <v>78</v>
      </c>
      <c r="D187" s="1" t="s">
        <v>14</v>
      </c>
      <c r="E187" s="1">
        <v>2</v>
      </c>
      <c r="F187" s="2">
        <v>45772</v>
      </c>
      <c r="G187" s="2">
        <v>45777</v>
      </c>
      <c r="H187" s="1">
        <v>3</v>
      </c>
      <c r="I187" s="1">
        <v>9218</v>
      </c>
      <c r="J187" t="str">
        <f>VLOOKUP(E187,Dignosis!$A$1:$B$11,2,)</f>
        <v>Diabetes</v>
      </c>
      <c r="K187" t="str">
        <f>VLOOKUP(H187,patients!$A$1:$B$4,2,)</f>
        <v>Gina Alexander</v>
      </c>
      <c r="L187">
        <f t="shared" si="4"/>
        <v>5</v>
      </c>
      <c r="M187" t="str">
        <f>IF(VLOOKUP(A187,labs!A187:E386,3,FALSE)&gt;120,"high",)</f>
        <v>high</v>
      </c>
      <c r="N187" t="str">
        <f t="shared" si="5"/>
        <v>low risk</v>
      </c>
    </row>
    <row r="188" spans="1:14" x14ac:dyDescent="0.25">
      <c r="A188" s="1">
        <v>187</v>
      </c>
      <c r="B188" s="1" t="s">
        <v>197</v>
      </c>
      <c r="C188" s="1">
        <v>81</v>
      </c>
      <c r="D188" s="1" t="s">
        <v>14</v>
      </c>
      <c r="E188" s="1">
        <v>3</v>
      </c>
      <c r="F188" s="2">
        <v>45704</v>
      </c>
      <c r="G188" s="2">
        <v>45707</v>
      </c>
      <c r="H188" s="1">
        <v>2</v>
      </c>
      <c r="I188" s="1">
        <v>9776</v>
      </c>
      <c r="J188" t="str">
        <f>VLOOKUP(E188,Dignosis!$A$1:$B$11,2,)</f>
        <v>Heart Disease</v>
      </c>
      <c r="K188" t="str">
        <f>VLOOKUP(H188,patients!$A$1:$B$4,2,)</f>
        <v>Jessica Zimmerman</v>
      </c>
      <c r="L188">
        <f t="shared" si="4"/>
        <v>3</v>
      </c>
      <c r="M188" t="str">
        <f>IF(VLOOKUP(A188,labs!A188:E387,3,FALSE)&gt;120,"high",)</f>
        <v>high</v>
      </c>
      <c r="N188" t="str">
        <f t="shared" si="5"/>
        <v>low risk</v>
      </c>
    </row>
    <row r="189" spans="1:14" x14ac:dyDescent="0.25">
      <c r="A189" s="1">
        <v>188</v>
      </c>
      <c r="B189" s="1" t="s">
        <v>198</v>
      </c>
      <c r="C189" s="1">
        <v>61</v>
      </c>
      <c r="D189" s="1" t="s">
        <v>14</v>
      </c>
      <c r="E189" s="1">
        <v>1</v>
      </c>
      <c r="F189" s="2">
        <v>45810</v>
      </c>
      <c r="G189" s="2">
        <v>45815</v>
      </c>
      <c r="H189" s="1">
        <v>3</v>
      </c>
      <c r="I189" s="1">
        <v>5675</v>
      </c>
      <c r="J189" t="str">
        <f>VLOOKUP(E189,Dignosis!$A$1:$B$11,2,)</f>
        <v>Hypertension</v>
      </c>
      <c r="K189" t="str">
        <f>VLOOKUP(H189,patients!$A$1:$B$4,2,)</f>
        <v>Gina Alexander</v>
      </c>
      <c r="L189">
        <f t="shared" si="4"/>
        <v>5</v>
      </c>
      <c r="M189" t="str">
        <f>IF(VLOOKUP(A189,labs!A189:E388,3,FALSE)&gt;120,"high",)</f>
        <v>high</v>
      </c>
      <c r="N189" t="str">
        <f t="shared" si="5"/>
        <v>high risk</v>
      </c>
    </row>
    <row r="190" spans="1:14" x14ac:dyDescent="0.25">
      <c r="A190" s="1">
        <v>189</v>
      </c>
      <c r="B190" s="1" t="s">
        <v>199</v>
      </c>
      <c r="C190" s="1">
        <v>33</v>
      </c>
      <c r="D190" s="1" t="s">
        <v>14</v>
      </c>
      <c r="E190" s="1">
        <v>1</v>
      </c>
      <c r="F190" s="2">
        <v>45667</v>
      </c>
      <c r="G190" s="2">
        <v>45674</v>
      </c>
      <c r="H190" s="1">
        <v>3</v>
      </c>
      <c r="I190" s="1">
        <v>5054</v>
      </c>
      <c r="J190" t="str">
        <f>VLOOKUP(E190,Dignosis!$A$1:$B$11,2,)</f>
        <v>Hypertension</v>
      </c>
      <c r="K190" t="str">
        <f>VLOOKUP(H190,patients!$A$1:$B$4,2,)</f>
        <v>Gina Alexander</v>
      </c>
      <c r="L190">
        <f t="shared" si="4"/>
        <v>7</v>
      </c>
      <c r="M190" t="str">
        <f>IF(VLOOKUP(A190,labs!A190:E389,3,FALSE)&gt;120,"high",)</f>
        <v>high</v>
      </c>
      <c r="N190" t="str">
        <f t="shared" si="5"/>
        <v>high risk</v>
      </c>
    </row>
    <row r="191" spans="1:14" x14ac:dyDescent="0.25">
      <c r="A191" s="1">
        <v>190</v>
      </c>
      <c r="B191" s="1" t="s">
        <v>200</v>
      </c>
      <c r="C191" s="1">
        <v>59</v>
      </c>
      <c r="D191" s="1" t="s">
        <v>14</v>
      </c>
      <c r="E191" s="1">
        <v>3</v>
      </c>
      <c r="F191" s="2">
        <v>45713</v>
      </c>
      <c r="G191" s="2">
        <v>45834</v>
      </c>
      <c r="H191" s="1">
        <v>1</v>
      </c>
      <c r="I191" s="1">
        <v>7383</v>
      </c>
      <c r="J191" t="str">
        <f>VLOOKUP(E191,Dignosis!$A$1:$B$11,2,)</f>
        <v>Heart Disease</v>
      </c>
      <c r="K191" t="str">
        <f>VLOOKUP(H191,patients!$A$1:$B$4,2,)</f>
        <v>Edward Montes</v>
      </c>
      <c r="L191">
        <f t="shared" si="4"/>
        <v>121</v>
      </c>
      <c r="M191" t="str">
        <f>IF(VLOOKUP(A191,labs!A191:E390,3,FALSE)&gt;120,"high",)</f>
        <v>high</v>
      </c>
      <c r="N191" t="str">
        <f t="shared" si="5"/>
        <v>high risk</v>
      </c>
    </row>
    <row r="192" spans="1:14" x14ac:dyDescent="0.25">
      <c r="A192" s="1">
        <v>191</v>
      </c>
      <c r="B192" s="1" t="s">
        <v>201</v>
      </c>
      <c r="C192" s="1">
        <v>66</v>
      </c>
      <c r="D192" s="1" t="s">
        <v>14</v>
      </c>
      <c r="E192" s="1">
        <v>5</v>
      </c>
      <c r="F192" s="2">
        <v>45687</v>
      </c>
      <c r="G192" s="2">
        <v>45779</v>
      </c>
      <c r="H192" s="1">
        <v>3</v>
      </c>
      <c r="I192" s="1">
        <v>9585</v>
      </c>
      <c r="J192" t="str">
        <f>VLOOKUP(E192,Dignosis!$A$1:$B$11,2,)</f>
        <v>Stroke</v>
      </c>
      <c r="K192" t="str">
        <f>VLOOKUP(H192,patients!$A$1:$B$4,2,)</f>
        <v>Gina Alexander</v>
      </c>
      <c r="L192">
        <f t="shared" si="4"/>
        <v>92</v>
      </c>
      <c r="M192" t="str">
        <f>IF(VLOOKUP(A192,labs!A192:E391,3,FALSE)&gt;120,"high",)</f>
        <v>high</v>
      </c>
      <c r="N192" t="str">
        <f t="shared" si="5"/>
        <v>low risk</v>
      </c>
    </row>
    <row r="193" spans="1:14" x14ac:dyDescent="0.25">
      <c r="A193" s="1">
        <v>192</v>
      </c>
      <c r="B193" s="1" t="s">
        <v>202</v>
      </c>
      <c r="C193" s="1">
        <v>52</v>
      </c>
      <c r="D193" s="1" t="s">
        <v>10</v>
      </c>
      <c r="E193" s="1">
        <v>3</v>
      </c>
      <c r="F193" s="2">
        <v>45766</v>
      </c>
      <c r="G193" s="2">
        <v>45769</v>
      </c>
      <c r="H193" s="1">
        <v>2</v>
      </c>
      <c r="I193" s="1">
        <v>9970</v>
      </c>
      <c r="J193" t="str">
        <f>VLOOKUP(E193,Dignosis!$A$1:$B$11,2,)</f>
        <v>Heart Disease</v>
      </c>
      <c r="K193" t="str">
        <f>VLOOKUP(H193,patients!$A$1:$B$4,2,)</f>
        <v>Jessica Zimmerman</v>
      </c>
      <c r="L193">
        <f t="shared" si="4"/>
        <v>3</v>
      </c>
      <c r="M193" t="str">
        <f>IF(VLOOKUP(A193,labs!A193:E392,3,FALSE)&gt;120,"high",)</f>
        <v>high</v>
      </c>
      <c r="N193" t="str">
        <f t="shared" si="5"/>
        <v>high risk</v>
      </c>
    </row>
    <row r="194" spans="1:14" x14ac:dyDescent="0.25">
      <c r="A194" s="1">
        <v>193</v>
      </c>
      <c r="B194" s="1" t="s">
        <v>203</v>
      </c>
      <c r="C194" s="1">
        <v>68</v>
      </c>
      <c r="D194" s="1" t="s">
        <v>14</v>
      </c>
      <c r="E194" s="1">
        <v>1</v>
      </c>
      <c r="F194" s="2">
        <v>45662</v>
      </c>
      <c r="G194" s="2">
        <v>45708</v>
      </c>
      <c r="H194" s="1">
        <v>2</v>
      </c>
      <c r="I194" s="1">
        <v>4143</v>
      </c>
      <c r="J194" t="str">
        <f>VLOOKUP(E194,Dignosis!$A$1:$B$11,2,)</f>
        <v>Hypertension</v>
      </c>
      <c r="K194" t="str">
        <f>VLOOKUP(H194,patients!$A$1:$B$4,2,)</f>
        <v>Jessica Zimmerman</v>
      </c>
      <c r="L194">
        <f t="shared" si="4"/>
        <v>46</v>
      </c>
      <c r="M194" t="str">
        <f>IF(VLOOKUP(A194,labs!A194:E393,3,FALSE)&gt;120,"high",)</f>
        <v>high</v>
      </c>
      <c r="N194" t="str">
        <f t="shared" si="5"/>
        <v>low risk</v>
      </c>
    </row>
    <row r="195" spans="1:14" x14ac:dyDescent="0.25">
      <c r="A195" s="1">
        <v>194</v>
      </c>
      <c r="B195" s="1" t="s">
        <v>204</v>
      </c>
      <c r="C195" s="1">
        <v>74</v>
      </c>
      <c r="D195" s="1" t="s">
        <v>14</v>
      </c>
      <c r="E195" s="1">
        <v>1</v>
      </c>
      <c r="F195" s="2">
        <v>45776</v>
      </c>
      <c r="G195" s="2">
        <v>45835</v>
      </c>
      <c r="H195" s="1">
        <v>2</v>
      </c>
      <c r="I195" s="1">
        <v>7207</v>
      </c>
      <c r="J195" t="str">
        <f>VLOOKUP(E195,Dignosis!$A$1:$B$11,2,)</f>
        <v>Hypertension</v>
      </c>
      <c r="K195" t="str">
        <f>VLOOKUP(H195,patients!$A$1:$B$4,2,)</f>
        <v>Jessica Zimmerman</v>
      </c>
      <c r="L195">
        <f t="shared" ref="L195:L201" si="6">_xlfn.DAYS(G195,F195)</f>
        <v>59</v>
      </c>
      <c r="M195" t="str">
        <f>IF(VLOOKUP(A195,labs!A195:E394,3,FALSE)&gt;120,"high",)</f>
        <v>high</v>
      </c>
      <c r="N195" t="str">
        <f t="shared" ref="N195:N201" si="7">IF(OR(C195&lt;65,H195&lt;1),"high risk","low risk")</f>
        <v>low risk</v>
      </c>
    </row>
    <row r="196" spans="1:14" x14ac:dyDescent="0.25">
      <c r="A196" s="1">
        <v>195</v>
      </c>
      <c r="B196" s="1" t="s">
        <v>205</v>
      </c>
      <c r="C196" s="1">
        <v>44</v>
      </c>
      <c r="D196" s="1" t="s">
        <v>10</v>
      </c>
      <c r="E196" s="1">
        <v>8</v>
      </c>
      <c r="F196" s="2">
        <v>45690</v>
      </c>
      <c r="G196" s="2">
        <v>45767</v>
      </c>
      <c r="H196" s="1">
        <v>2</v>
      </c>
      <c r="I196" s="1">
        <v>9245</v>
      </c>
      <c r="J196" t="str">
        <f>VLOOKUP(E196,Dignosis!$A$1:$B$11,2,)</f>
        <v>Arthritis</v>
      </c>
      <c r="K196" t="str">
        <f>VLOOKUP(H196,patients!$A$1:$B$4,2,)</f>
        <v>Jessica Zimmerman</v>
      </c>
      <c r="L196">
        <f t="shared" si="6"/>
        <v>77</v>
      </c>
      <c r="M196" t="str">
        <f>IF(VLOOKUP(A196,labs!A196:E395,3,FALSE)&gt;120,"high",)</f>
        <v>high</v>
      </c>
      <c r="N196" t="str">
        <f t="shared" si="7"/>
        <v>high risk</v>
      </c>
    </row>
    <row r="197" spans="1:14" x14ac:dyDescent="0.25">
      <c r="A197" s="1">
        <v>196</v>
      </c>
      <c r="B197" s="1" t="s">
        <v>206</v>
      </c>
      <c r="C197" s="1">
        <v>72</v>
      </c>
      <c r="D197" s="1" t="s">
        <v>10</v>
      </c>
      <c r="E197" s="1">
        <v>10</v>
      </c>
      <c r="F197" s="2">
        <v>45775</v>
      </c>
      <c r="G197" s="2">
        <v>45779</v>
      </c>
      <c r="H197" s="1">
        <v>3</v>
      </c>
      <c r="I197" s="1">
        <v>3311</v>
      </c>
      <c r="J197" t="str">
        <f>VLOOKUP(E197,Dignosis!$A$1:$B$11,2,)</f>
        <v>Liver Disease</v>
      </c>
      <c r="K197" t="str">
        <f>VLOOKUP(H197,patients!$A$1:$B$4,2,)</f>
        <v>Gina Alexander</v>
      </c>
      <c r="L197">
        <f t="shared" si="6"/>
        <v>4</v>
      </c>
      <c r="M197" t="str">
        <f>IF(VLOOKUP(A197,labs!A197:E396,3,FALSE)&gt;120,"high",)</f>
        <v>high</v>
      </c>
      <c r="N197" t="str">
        <f t="shared" si="7"/>
        <v>low risk</v>
      </c>
    </row>
    <row r="198" spans="1:14" x14ac:dyDescent="0.25">
      <c r="A198" s="1">
        <v>197</v>
      </c>
      <c r="B198" s="1" t="s">
        <v>207</v>
      </c>
      <c r="C198" s="1">
        <v>58</v>
      </c>
      <c r="D198" s="1" t="s">
        <v>10</v>
      </c>
      <c r="E198" s="1">
        <v>2</v>
      </c>
      <c r="F198" s="2">
        <v>45722</v>
      </c>
      <c r="G198" s="2">
        <v>45846</v>
      </c>
      <c r="H198" s="1">
        <v>3</v>
      </c>
      <c r="I198" s="1">
        <v>5191</v>
      </c>
      <c r="J198" t="str">
        <f>VLOOKUP(E198,Dignosis!$A$1:$B$11,2,)</f>
        <v>Diabetes</v>
      </c>
      <c r="K198" t="str">
        <f>VLOOKUP(H198,patients!$A$1:$B$4,2,)</f>
        <v>Gina Alexander</v>
      </c>
      <c r="L198">
        <f t="shared" si="6"/>
        <v>124</v>
      </c>
      <c r="M198" t="str">
        <f>IF(VLOOKUP(A198,labs!A198:E397,3,FALSE)&gt;120,"high",)</f>
        <v>high</v>
      </c>
      <c r="N198" t="str">
        <f t="shared" si="7"/>
        <v>high risk</v>
      </c>
    </row>
    <row r="199" spans="1:14" x14ac:dyDescent="0.25">
      <c r="A199" s="1">
        <v>198</v>
      </c>
      <c r="B199" s="1" t="s">
        <v>208</v>
      </c>
      <c r="C199" s="1">
        <v>65</v>
      </c>
      <c r="D199" s="1" t="s">
        <v>10</v>
      </c>
      <c r="E199" s="1">
        <v>3</v>
      </c>
      <c r="F199" s="2">
        <v>45803</v>
      </c>
      <c r="G199" s="2">
        <v>45812</v>
      </c>
      <c r="H199" s="1">
        <v>2</v>
      </c>
      <c r="I199" s="1">
        <v>8957</v>
      </c>
      <c r="J199" t="str">
        <f>VLOOKUP(E199,Dignosis!$A$1:$B$11,2,)</f>
        <v>Heart Disease</v>
      </c>
      <c r="K199" t="str">
        <f>VLOOKUP(H199,patients!$A$1:$B$4,2,)</f>
        <v>Jessica Zimmerman</v>
      </c>
      <c r="L199">
        <f t="shared" si="6"/>
        <v>9</v>
      </c>
      <c r="M199" t="str">
        <f>IF(VLOOKUP(A199,labs!A199:E398,3,FALSE)&gt;120,"high",)</f>
        <v>high</v>
      </c>
      <c r="N199" t="str">
        <f t="shared" si="7"/>
        <v>low risk</v>
      </c>
    </row>
    <row r="200" spans="1:14" x14ac:dyDescent="0.25">
      <c r="A200" s="1">
        <v>199</v>
      </c>
      <c r="B200" s="1" t="s">
        <v>209</v>
      </c>
      <c r="C200" s="1">
        <v>42</v>
      </c>
      <c r="D200" s="1" t="s">
        <v>14</v>
      </c>
      <c r="E200" s="1">
        <v>2</v>
      </c>
      <c r="F200" s="2">
        <v>45834</v>
      </c>
      <c r="G200" s="2">
        <v>45843</v>
      </c>
      <c r="H200" s="1">
        <v>2</v>
      </c>
      <c r="I200" s="1">
        <v>4538</v>
      </c>
      <c r="J200" t="str">
        <f>VLOOKUP(E200,Dignosis!$A$1:$B$11,2,)</f>
        <v>Diabetes</v>
      </c>
      <c r="K200" t="str">
        <f>VLOOKUP(H200,patients!$A$1:$B$4,2,)</f>
        <v>Jessica Zimmerman</v>
      </c>
      <c r="L200">
        <f t="shared" si="6"/>
        <v>9</v>
      </c>
      <c r="M200" t="str">
        <f>IF(VLOOKUP(A200,labs!A200:E399,3,FALSE)&gt;120,"high",)</f>
        <v>high</v>
      </c>
      <c r="N200" t="str">
        <f t="shared" si="7"/>
        <v>high risk</v>
      </c>
    </row>
    <row r="201" spans="1:14" x14ac:dyDescent="0.25">
      <c r="A201" s="1">
        <v>200</v>
      </c>
      <c r="B201" s="1" t="s">
        <v>210</v>
      </c>
      <c r="C201" s="1">
        <v>61</v>
      </c>
      <c r="D201" s="1" t="s">
        <v>14</v>
      </c>
      <c r="E201" s="1">
        <v>3</v>
      </c>
      <c r="F201" s="2">
        <v>45668</v>
      </c>
      <c r="G201" s="2">
        <v>45725</v>
      </c>
      <c r="H201" s="1">
        <v>3</v>
      </c>
      <c r="I201" s="1">
        <v>5983</v>
      </c>
      <c r="J201" t="str">
        <f>VLOOKUP(E201,Dignosis!$A$1:$B$11,2,)</f>
        <v>Heart Disease</v>
      </c>
      <c r="K201" t="str">
        <f>VLOOKUP(H201,patients!$A$1:$B$4,2,)</f>
        <v>Gina Alexander</v>
      </c>
      <c r="L201">
        <f t="shared" si="6"/>
        <v>57</v>
      </c>
      <c r="M201" t="str">
        <f>IF(VLOOKUP(A201,labs!A201:E400,3,FALSE)&gt;120,"high",)</f>
        <v>high</v>
      </c>
      <c r="N201" t="str">
        <f t="shared" si="7"/>
        <v>high risk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905F6-1BF0-4354-A742-84B2BD59F1D7}">
  <dimension ref="A1:H201"/>
  <sheetViews>
    <sheetView zoomScale="115" zoomScaleNormal="115" workbookViewId="0">
      <selection activeCell="H2" sqref="H2"/>
    </sheetView>
  </sheetViews>
  <sheetFormatPr defaultRowHeight="15" x14ac:dyDescent="0.25"/>
  <cols>
    <col min="1" max="1" width="6" bestFit="1" customWidth="1"/>
    <col min="2" max="2" width="9" bestFit="1" customWidth="1"/>
    <col min="3" max="3" width="14.42578125" bestFit="1" customWidth="1"/>
    <col min="4" max="4" width="6.42578125" bestFit="1" customWidth="1"/>
    <col min="5" max="5" width="13.28515625" bestFit="1" customWidth="1"/>
  </cols>
  <sheetData>
    <row r="1" spans="1:8" x14ac:dyDescent="0.25">
      <c r="A1" s="1" t="s">
        <v>211</v>
      </c>
      <c r="B1" s="1" t="s">
        <v>0</v>
      </c>
      <c r="C1" s="1" t="s">
        <v>212</v>
      </c>
      <c r="D1" s="1" t="s">
        <v>213</v>
      </c>
      <c r="E1" s="1" t="s">
        <v>214</v>
      </c>
      <c r="F1" s="3" t="s">
        <v>246</v>
      </c>
      <c r="G1" s="3" t="s">
        <v>247</v>
      </c>
    </row>
    <row r="2" spans="1:8" x14ac:dyDescent="0.25">
      <c r="A2" s="1">
        <v>1</v>
      </c>
      <c r="B2" s="1">
        <v>196</v>
      </c>
      <c r="C2" s="1" t="s">
        <v>215</v>
      </c>
      <c r="D2" s="1">
        <v>89</v>
      </c>
      <c r="E2" s="1" t="s">
        <v>216</v>
      </c>
      <c r="F2" s="1" t="str" cm="1">
        <f t="array" ref="F2:G2">_xlfn.TEXTSPLIT(E2,"-")</f>
        <v>150</v>
      </c>
      <c r="G2" s="4" t="str">
        <v>200</v>
      </c>
      <c r="H2" t="str">
        <f>IF(D2 &lt; F2, "Low", IF(D2 &gt; G2, "High", "Normal"))</f>
        <v>Low</v>
      </c>
    </row>
    <row r="3" spans="1:8" x14ac:dyDescent="0.25">
      <c r="A3" s="1">
        <v>2</v>
      </c>
      <c r="B3" s="1">
        <v>165</v>
      </c>
      <c r="C3" s="1" t="s">
        <v>217</v>
      </c>
      <c r="D3" s="1">
        <v>270.2</v>
      </c>
      <c r="E3" s="1" t="s">
        <v>218</v>
      </c>
      <c r="F3" s="1" t="str" cm="1">
        <f t="array" ref="F3:G3">_xlfn.TEXTSPLIT(E3,"-")</f>
        <v>13</v>
      </c>
      <c r="G3" s="1" t="str">
        <v>17</v>
      </c>
      <c r="H3" t="str">
        <f t="shared" ref="H3:H66" si="0">IF(D3 &lt; F3, "Low", IF(D3 &gt; G3, "High", "Normal"))</f>
        <v>Low</v>
      </c>
    </row>
    <row r="4" spans="1:8" x14ac:dyDescent="0.25">
      <c r="A4" s="1">
        <v>3</v>
      </c>
      <c r="B4" s="1">
        <v>182</v>
      </c>
      <c r="C4" s="1" t="s">
        <v>215</v>
      </c>
      <c r="D4" s="1">
        <v>268</v>
      </c>
      <c r="E4" s="1" t="s">
        <v>219</v>
      </c>
      <c r="F4" s="1" t="str" cm="1">
        <f t="array" ref="F4:G4">_xlfn.TEXTSPLIT(E4,"-")</f>
        <v>0.6</v>
      </c>
      <c r="G4" s="1" t="str">
        <v>1.2</v>
      </c>
      <c r="H4" t="str">
        <f t="shared" si="0"/>
        <v>Low</v>
      </c>
    </row>
    <row r="5" spans="1:8" x14ac:dyDescent="0.25">
      <c r="A5" s="1">
        <v>4</v>
      </c>
      <c r="B5" s="1">
        <v>142</v>
      </c>
      <c r="C5" s="1" t="s">
        <v>217</v>
      </c>
      <c r="D5" s="1">
        <v>57.3</v>
      </c>
      <c r="E5" s="1" t="s">
        <v>216</v>
      </c>
      <c r="F5" s="1" t="str" cm="1">
        <f t="array" ref="F5:G5">_xlfn.TEXTSPLIT(E5,"-")</f>
        <v>150</v>
      </c>
      <c r="G5" s="1" t="str">
        <v>200</v>
      </c>
      <c r="H5" t="str">
        <f t="shared" si="0"/>
        <v>Low</v>
      </c>
    </row>
    <row r="6" spans="1:8" x14ac:dyDescent="0.25">
      <c r="A6" s="1">
        <v>5</v>
      </c>
      <c r="B6" s="1">
        <v>55</v>
      </c>
      <c r="C6" s="1" t="s">
        <v>220</v>
      </c>
      <c r="D6" s="1">
        <v>256.5</v>
      </c>
      <c r="E6" s="1" t="s">
        <v>221</v>
      </c>
      <c r="F6" s="1" t="str" cm="1">
        <f t="array" ref="F6:G6">_xlfn.TEXTSPLIT(E6,"/")</f>
        <v>120</v>
      </c>
      <c r="G6" s="1" t="str">
        <v>80</v>
      </c>
      <c r="H6" t="str">
        <f t="shared" si="0"/>
        <v>Low</v>
      </c>
    </row>
    <row r="7" spans="1:8" x14ac:dyDescent="0.25">
      <c r="A7" s="1">
        <v>6</v>
      </c>
      <c r="B7" s="1">
        <v>176</v>
      </c>
      <c r="C7" s="1" t="s">
        <v>222</v>
      </c>
      <c r="D7" s="1">
        <v>82.2</v>
      </c>
      <c r="E7" s="1" t="s">
        <v>221</v>
      </c>
      <c r="F7" s="1" t="str" cm="1">
        <f t="array" ref="F7:G7">_xlfn.TEXTSPLIT(E7,"/")</f>
        <v>120</v>
      </c>
      <c r="G7" s="1" t="str">
        <v>80</v>
      </c>
      <c r="H7" t="str">
        <f t="shared" si="0"/>
        <v>Low</v>
      </c>
    </row>
    <row r="8" spans="1:8" x14ac:dyDescent="0.25">
      <c r="A8" s="1">
        <v>7</v>
      </c>
      <c r="B8" s="1">
        <v>7</v>
      </c>
      <c r="C8" s="1" t="s">
        <v>215</v>
      </c>
      <c r="D8" s="1">
        <v>133.80000000000001</v>
      </c>
      <c r="E8" s="1" t="s">
        <v>216</v>
      </c>
      <c r="F8" s="1" t="str" cm="1">
        <f t="array" ref="F8:G8">_xlfn.TEXTSPLIT(E8,"-")</f>
        <v>150</v>
      </c>
      <c r="G8" s="1" t="str">
        <v>200</v>
      </c>
      <c r="H8" t="str">
        <f t="shared" si="0"/>
        <v>Low</v>
      </c>
    </row>
    <row r="9" spans="1:8" x14ac:dyDescent="0.25">
      <c r="A9" s="1">
        <v>8</v>
      </c>
      <c r="B9" s="1">
        <v>74</v>
      </c>
      <c r="C9" s="1" t="s">
        <v>223</v>
      </c>
      <c r="D9" s="1">
        <v>235.9</v>
      </c>
      <c r="E9" s="1" t="s">
        <v>219</v>
      </c>
      <c r="F9" s="1" t="str" cm="1">
        <f t="array" ref="F9:G9">_xlfn.TEXTSPLIT(E9,"-")</f>
        <v>0.6</v>
      </c>
      <c r="G9" s="1" t="str">
        <v>1.2</v>
      </c>
      <c r="H9" t="str">
        <f t="shared" si="0"/>
        <v>Low</v>
      </c>
    </row>
    <row r="10" spans="1:8" x14ac:dyDescent="0.25">
      <c r="A10" s="1">
        <v>9</v>
      </c>
      <c r="B10" s="1">
        <v>7</v>
      </c>
      <c r="C10" s="1" t="s">
        <v>223</v>
      </c>
      <c r="D10" s="1">
        <v>90.2</v>
      </c>
      <c r="E10" s="1" t="s">
        <v>224</v>
      </c>
      <c r="F10" s="1" t="str" cm="1">
        <f t="array" ref="F10:G10">_xlfn.TEXTSPLIT(E10,"-")</f>
        <v>20</v>
      </c>
      <c r="G10" s="1" t="str">
        <v>50</v>
      </c>
      <c r="H10" t="str">
        <f t="shared" si="0"/>
        <v>Low</v>
      </c>
    </row>
    <row r="11" spans="1:8" x14ac:dyDescent="0.25">
      <c r="A11" s="1">
        <v>10</v>
      </c>
      <c r="B11" s="1">
        <v>161</v>
      </c>
      <c r="C11" s="1" t="s">
        <v>225</v>
      </c>
      <c r="D11" s="1">
        <v>254.5</v>
      </c>
      <c r="E11" s="1" t="s">
        <v>218</v>
      </c>
      <c r="F11" s="1" t="str" cm="1">
        <f t="array" ref="F11:G11">_xlfn.TEXTSPLIT(E11,"-")</f>
        <v>13</v>
      </c>
      <c r="G11" s="1" t="str">
        <v>17</v>
      </c>
      <c r="H11" t="str">
        <f t="shared" si="0"/>
        <v>Low</v>
      </c>
    </row>
    <row r="12" spans="1:8" x14ac:dyDescent="0.25">
      <c r="A12" s="1">
        <v>11</v>
      </c>
      <c r="B12" s="1">
        <v>151</v>
      </c>
      <c r="C12" s="1" t="s">
        <v>217</v>
      </c>
      <c r="D12" s="1">
        <v>258</v>
      </c>
      <c r="E12" s="1" t="s">
        <v>221</v>
      </c>
      <c r="F12" s="1" t="str" cm="1">
        <f t="array" ref="F12:G12">_xlfn.TEXTSPLIT(E12,"/")</f>
        <v>120</v>
      </c>
      <c r="G12" s="1" t="str">
        <v>80</v>
      </c>
      <c r="H12" t="str">
        <f t="shared" si="0"/>
        <v>Low</v>
      </c>
    </row>
    <row r="13" spans="1:8" x14ac:dyDescent="0.25">
      <c r="A13" s="1">
        <v>12</v>
      </c>
      <c r="B13" s="1">
        <v>85</v>
      </c>
      <c r="C13" s="1" t="s">
        <v>215</v>
      </c>
      <c r="D13" s="1">
        <v>176.9</v>
      </c>
      <c r="E13" s="1" t="s">
        <v>224</v>
      </c>
      <c r="F13" s="1" t="str" cm="1">
        <f t="array" ref="F13:G13">_xlfn.TEXTSPLIT(E13,"-")</f>
        <v>20</v>
      </c>
      <c r="G13" s="1" t="str">
        <v>50</v>
      </c>
      <c r="H13" t="str">
        <f t="shared" si="0"/>
        <v>Low</v>
      </c>
    </row>
    <row r="14" spans="1:8" x14ac:dyDescent="0.25">
      <c r="A14" s="1">
        <v>13</v>
      </c>
      <c r="B14" s="1">
        <v>147</v>
      </c>
      <c r="C14" s="1" t="s">
        <v>225</v>
      </c>
      <c r="D14" s="1">
        <v>51.6</v>
      </c>
      <c r="E14" s="1" t="s">
        <v>216</v>
      </c>
      <c r="F14" s="1" t="str" cm="1">
        <f t="array" ref="F14:G14">_xlfn.TEXTSPLIT(E14,"-")</f>
        <v>150</v>
      </c>
      <c r="G14" s="1" t="str">
        <v>200</v>
      </c>
      <c r="H14" t="str">
        <f t="shared" si="0"/>
        <v>Low</v>
      </c>
    </row>
    <row r="15" spans="1:8" x14ac:dyDescent="0.25">
      <c r="A15" s="1">
        <v>14</v>
      </c>
      <c r="B15" s="1">
        <v>112</v>
      </c>
      <c r="C15" s="1" t="s">
        <v>215</v>
      </c>
      <c r="D15" s="1">
        <v>121.8</v>
      </c>
      <c r="E15" s="1" t="s">
        <v>224</v>
      </c>
      <c r="F15" s="1" t="str" cm="1">
        <f t="array" ref="F15:G15">_xlfn.TEXTSPLIT(E15,"-")</f>
        <v>20</v>
      </c>
      <c r="G15" s="1" t="str">
        <v>50</v>
      </c>
      <c r="H15" t="str">
        <f t="shared" si="0"/>
        <v>Low</v>
      </c>
    </row>
    <row r="16" spans="1:8" x14ac:dyDescent="0.25">
      <c r="A16" s="1">
        <v>15</v>
      </c>
      <c r="B16" s="1">
        <v>125</v>
      </c>
      <c r="C16" s="1" t="s">
        <v>217</v>
      </c>
      <c r="D16" s="1">
        <v>204.2</v>
      </c>
      <c r="E16" s="1" t="s">
        <v>226</v>
      </c>
      <c r="F16" s="1" t="str" cm="1">
        <f t="array" ref="F16:G16">_xlfn.TEXTSPLIT(E16,"-")</f>
        <v>70</v>
      </c>
      <c r="G16" s="1" t="str">
        <v>120</v>
      </c>
      <c r="H16" t="str">
        <f t="shared" si="0"/>
        <v>Low</v>
      </c>
    </row>
    <row r="17" spans="1:8" x14ac:dyDescent="0.25">
      <c r="A17" s="1">
        <v>16</v>
      </c>
      <c r="B17" s="1">
        <v>147</v>
      </c>
      <c r="C17" s="1" t="s">
        <v>223</v>
      </c>
      <c r="D17" s="1">
        <v>295.3</v>
      </c>
      <c r="E17" s="1" t="s">
        <v>221</v>
      </c>
      <c r="F17" s="1" t="str" cm="1">
        <f t="array" ref="F17:G17">_xlfn.TEXTSPLIT(E17,"/")</f>
        <v>120</v>
      </c>
      <c r="G17" s="1" t="str">
        <v>80</v>
      </c>
      <c r="H17" t="str">
        <f t="shared" si="0"/>
        <v>Low</v>
      </c>
    </row>
    <row r="18" spans="1:8" x14ac:dyDescent="0.25">
      <c r="A18" s="1">
        <v>17</v>
      </c>
      <c r="B18" s="1">
        <v>36</v>
      </c>
      <c r="C18" s="1" t="s">
        <v>220</v>
      </c>
      <c r="D18" s="1">
        <v>208</v>
      </c>
      <c r="E18" s="1" t="s">
        <v>216</v>
      </c>
      <c r="F18" s="1" t="str" cm="1">
        <f t="array" ref="F18:G18">_xlfn.TEXTSPLIT(E18,"-")</f>
        <v>150</v>
      </c>
      <c r="G18" s="1" t="str">
        <v>200</v>
      </c>
      <c r="H18" t="str">
        <f t="shared" si="0"/>
        <v>Low</v>
      </c>
    </row>
    <row r="19" spans="1:8" x14ac:dyDescent="0.25">
      <c r="A19" s="1">
        <v>18</v>
      </c>
      <c r="B19" s="1">
        <v>29</v>
      </c>
      <c r="C19" s="1" t="s">
        <v>223</v>
      </c>
      <c r="D19" s="1">
        <v>115</v>
      </c>
      <c r="E19" s="1" t="s">
        <v>218</v>
      </c>
      <c r="F19" s="1" t="str" cm="1">
        <f t="array" ref="F19:G19">_xlfn.TEXTSPLIT(E19,"-")</f>
        <v>13</v>
      </c>
      <c r="G19" s="1" t="str">
        <v>17</v>
      </c>
      <c r="H19" t="str">
        <f t="shared" si="0"/>
        <v>Low</v>
      </c>
    </row>
    <row r="20" spans="1:8" x14ac:dyDescent="0.25">
      <c r="A20" s="1">
        <v>19</v>
      </c>
      <c r="B20" s="1">
        <v>188</v>
      </c>
      <c r="C20" s="1" t="s">
        <v>225</v>
      </c>
      <c r="D20" s="1">
        <v>208.5</v>
      </c>
      <c r="E20" s="1" t="s">
        <v>219</v>
      </c>
      <c r="F20" s="1" t="str" cm="1">
        <f t="array" ref="F20:G20">_xlfn.TEXTSPLIT(E20,"-")</f>
        <v>0.6</v>
      </c>
      <c r="G20" s="1" t="str">
        <v>1.2</v>
      </c>
      <c r="H20" t="str">
        <f t="shared" si="0"/>
        <v>Low</v>
      </c>
    </row>
    <row r="21" spans="1:8" x14ac:dyDescent="0.25">
      <c r="A21" s="1">
        <v>20</v>
      </c>
      <c r="B21" s="1">
        <v>82</v>
      </c>
      <c r="C21" s="1" t="s">
        <v>222</v>
      </c>
      <c r="D21" s="1">
        <v>185</v>
      </c>
      <c r="E21" s="1" t="s">
        <v>216</v>
      </c>
      <c r="F21" s="1" t="str" cm="1">
        <f t="array" ref="F21:G21">_xlfn.TEXTSPLIT(E21,"-")</f>
        <v>150</v>
      </c>
      <c r="G21" s="1" t="str">
        <v>200</v>
      </c>
      <c r="H21" t="str">
        <f t="shared" si="0"/>
        <v>Low</v>
      </c>
    </row>
    <row r="22" spans="1:8" x14ac:dyDescent="0.25">
      <c r="A22" s="1">
        <v>21</v>
      </c>
      <c r="B22" s="1">
        <v>2</v>
      </c>
      <c r="C22" s="1" t="s">
        <v>220</v>
      </c>
      <c r="D22" s="1">
        <v>245</v>
      </c>
      <c r="E22" s="1" t="s">
        <v>218</v>
      </c>
      <c r="F22" s="1" t="str" cm="1">
        <f t="array" ref="F22:G22">_xlfn.TEXTSPLIT(E22,"-")</f>
        <v>13</v>
      </c>
      <c r="G22" s="1" t="str">
        <v>17</v>
      </c>
      <c r="H22" t="str">
        <f t="shared" si="0"/>
        <v>Low</v>
      </c>
    </row>
    <row r="23" spans="1:8" x14ac:dyDescent="0.25">
      <c r="A23" s="1">
        <v>22</v>
      </c>
      <c r="B23" s="1">
        <v>129</v>
      </c>
      <c r="C23" s="1" t="s">
        <v>225</v>
      </c>
      <c r="D23" s="1">
        <v>76.7</v>
      </c>
      <c r="E23" s="1" t="s">
        <v>219</v>
      </c>
      <c r="F23" s="1" t="str" cm="1">
        <f t="array" ref="F23:G23">_xlfn.TEXTSPLIT(E23,"-")</f>
        <v>0.6</v>
      </c>
      <c r="G23" s="1" t="str">
        <v>1.2</v>
      </c>
      <c r="H23" t="str">
        <f t="shared" si="0"/>
        <v>Low</v>
      </c>
    </row>
    <row r="24" spans="1:8" x14ac:dyDescent="0.25">
      <c r="A24" s="1">
        <v>23</v>
      </c>
      <c r="B24" s="1">
        <v>47</v>
      </c>
      <c r="C24" s="1" t="s">
        <v>217</v>
      </c>
      <c r="D24" s="1">
        <v>240.3</v>
      </c>
      <c r="E24" s="1" t="s">
        <v>219</v>
      </c>
      <c r="F24" s="1" t="str" cm="1">
        <f t="array" ref="F24:G24">_xlfn.TEXTSPLIT(E24,"-")</f>
        <v>0.6</v>
      </c>
      <c r="G24" s="1" t="str">
        <v>1.2</v>
      </c>
      <c r="H24" t="str">
        <f t="shared" si="0"/>
        <v>Low</v>
      </c>
    </row>
    <row r="25" spans="1:8" x14ac:dyDescent="0.25">
      <c r="A25" s="1">
        <v>24</v>
      </c>
      <c r="B25" s="1">
        <v>197</v>
      </c>
      <c r="C25" s="1" t="s">
        <v>220</v>
      </c>
      <c r="D25" s="1">
        <v>185.3</v>
      </c>
      <c r="E25" s="1" t="s">
        <v>216</v>
      </c>
      <c r="F25" s="1" t="str" cm="1">
        <f t="array" ref="F25:G25">_xlfn.TEXTSPLIT(E25,"-")</f>
        <v>150</v>
      </c>
      <c r="G25" s="1" t="str">
        <v>200</v>
      </c>
      <c r="H25" t="str">
        <f t="shared" si="0"/>
        <v>Low</v>
      </c>
    </row>
    <row r="26" spans="1:8" x14ac:dyDescent="0.25">
      <c r="A26" s="1">
        <v>25</v>
      </c>
      <c r="B26" s="1">
        <v>148</v>
      </c>
      <c r="C26" s="1" t="s">
        <v>225</v>
      </c>
      <c r="D26" s="1">
        <v>290.7</v>
      </c>
      <c r="E26" s="1" t="s">
        <v>224</v>
      </c>
      <c r="F26" s="1" t="str" cm="1">
        <f t="array" ref="F26:G26">_xlfn.TEXTSPLIT(E26,"-")</f>
        <v>20</v>
      </c>
      <c r="G26" s="1" t="str">
        <v>50</v>
      </c>
      <c r="H26" t="str">
        <f t="shared" si="0"/>
        <v>Low</v>
      </c>
    </row>
    <row r="27" spans="1:8" x14ac:dyDescent="0.25">
      <c r="A27" s="1">
        <v>26</v>
      </c>
      <c r="B27" s="1">
        <v>11</v>
      </c>
      <c r="C27" s="1" t="s">
        <v>217</v>
      </c>
      <c r="D27" s="1">
        <v>135.5</v>
      </c>
      <c r="E27" s="1" t="s">
        <v>224</v>
      </c>
      <c r="F27" s="1" t="str" cm="1">
        <f t="array" ref="F27:G27">_xlfn.TEXTSPLIT(E27,"-")</f>
        <v>20</v>
      </c>
      <c r="G27" s="1" t="str">
        <v>50</v>
      </c>
      <c r="H27" t="str">
        <f t="shared" si="0"/>
        <v>Low</v>
      </c>
    </row>
    <row r="28" spans="1:8" x14ac:dyDescent="0.25">
      <c r="A28" s="1">
        <v>27</v>
      </c>
      <c r="B28" s="1">
        <v>130</v>
      </c>
      <c r="C28" s="1" t="s">
        <v>223</v>
      </c>
      <c r="D28" s="1">
        <v>208.2</v>
      </c>
      <c r="E28" s="1" t="s">
        <v>219</v>
      </c>
      <c r="F28" s="1" t="str" cm="1">
        <f t="array" ref="F28:G28">_xlfn.TEXTSPLIT(E28,"-")</f>
        <v>0.6</v>
      </c>
      <c r="G28" s="1" t="str">
        <v>1.2</v>
      </c>
      <c r="H28" t="str">
        <f t="shared" si="0"/>
        <v>Low</v>
      </c>
    </row>
    <row r="29" spans="1:8" x14ac:dyDescent="0.25">
      <c r="A29" s="1">
        <v>28</v>
      </c>
      <c r="B29" s="1">
        <v>195</v>
      </c>
      <c r="C29" s="1" t="s">
        <v>222</v>
      </c>
      <c r="D29" s="1">
        <v>283</v>
      </c>
      <c r="E29" s="1" t="s">
        <v>224</v>
      </c>
      <c r="F29" s="1" t="str" cm="1">
        <f t="array" ref="F29:G29">_xlfn.TEXTSPLIT(E29,"-")</f>
        <v>20</v>
      </c>
      <c r="G29" s="1" t="str">
        <v>50</v>
      </c>
      <c r="H29" t="str">
        <f t="shared" si="0"/>
        <v>Low</v>
      </c>
    </row>
    <row r="30" spans="1:8" x14ac:dyDescent="0.25">
      <c r="A30" s="1">
        <v>29</v>
      </c>
      <c r="B30" s="1">
        <v>119</v>
      </c>
      <c r="C30" s="1" t="s">
        <v>217</v>
      </c>
      <c r="D30" s="1">
        <v>75.599999999999994</v>
      </c>
      <c r="E30" s="1" t="s">
        <v>226</v>
      </c>
      <c r="F30" s="1" t="str" cm="1">
        <f t="array" ref="F30:G30">_xlfn.TEXTSPLIT(E30,"-")</f>
        <v>70</v>
      </c>
      <c r="G30" s="1" t="str">
        <v>120</v>
      </c>
      <c r="H30" t="str">
        <f t="shared" si="0"/>
        <v>Low</v>
      </c>
    </row>
    <row r="31" spans="1:8" x14ac:dyDescent="0.25">
      <c r="A31" s="1">
        <v>30</v>
      </c>
      <c r="B31" s="1">
        <v>140</v>
      </c>
      <c r="C31" s="1" t="s">
        <v>215</v>
      </c>
      <c r="D31" s="1">
        <v>284.3</v>
      </c>
      <c r="E31" s="1" t="s">
        <v>219</v>
      </c>
      <c r="F31" s="1" t="str" cm="1">
        <f t="array" ref="F31:G31">_xlfn.TEXTSPLIT(E31,"-")</f>
        <v>0.6</v>
      </c>
      <c r="G31" s="1" t="str">
        <v>1.2</v>
      </c>
      <c r="H31" t="str">
        <f t="shared" si="0"/>
        <v>Low</v>
      </c>
    </row>
    <row r="32" spans="1:8" x14ac:dyDescent="0.25">
      <c r="A32" s="1">
        <v>31</v>
      </c>
      <c r="B32" s="1">
        <v>20</v>
      </c>
      <c r="C32" s="1" t="s">
        <v>217</v>
      </c>
      <c r="D32" s="1">
        <v>222</v>
      </c>
      <c r="E32" s="1" t="s">
        <v>219</v>
      </c>
      <c r="F32" s="1" t="str" cm="1">
        <f t="array" ref="F32:G32">_xlfn.TEXTSPLIT(E32,"-")</f>
        <v>0.6</v>
      </c>
      <c r="G32" s="1" t="str">
        <v>1.2</v>
      </c>
      <c r="H32" t="str">
        <f t="shared" si="0"/>
        <v>Low</v>
      </c>
    </row>
    <row r="33" spans="1:8" x14ac:dyDescent="0.25">
      <c r="A33" s="1">
        <v>32</v>
      </c>
      <c r="B33" s="1">
        <v>5</v>
      </c>
      <c r="C33" s="1" t="s">
        <v>217</v>
      </c>
      <c r="D33" s="1">
        <v>67</v>
      </c>
      <c r="E33" s="1" t="s">
        <v>218</v>
      </c>
      <c r="F33" s="1" t="str" cm="1">
        <f t="array" ref="F33:G33">_xlfn.TEXTSPLIT(E33,"-")</f>
        <v>13</v>
      </c>
      <c r="G33" s="1" t="str">
        <v>17</v>
      </c>
      <c r="H33" t="str">
        <f t="shared" si="0"/>
        <v>Low</v>
      </c>
    </row>
    <row r="34" spans="1:8" x14ac:dyDescent="0.25">
      <c r="A34" s="1">
        <v>33</v>
      </c>
      <c r="B34" s="1">
        <v>37</v>
      </c>
      <c r="C34" s="1" t="s">
        <v>222</v>
      </c>
      <c r="D34" s="1">
        <v>125.2</v>
      </c>
      <c r="E34" s="1" t="s">
        <v>224</v>
      </c>
      <c r="F34" s="1" t="str" cm="1">
        <f t="array" ref="F34:G34">_xlfn.TEXTSPLIT(E34,"-")</f>
        <v>20</v>
      </c>
      <c r="G34" s="1" t="str">
        <v>50</v>
      </c>
      <c r="H34" t="str">
        <f t="shared" si="0"/>
        <v>Low</v>
      </c>
    </row>
    <row r="35" spans="1:8" x14ac:dyDescent="0.25">
      <c r="A35" s="1">
        <v>34</v>
      </c>
      <c r="B35" s="1">
        <v>166</v>
      </c>
      <c r="C35" s="1" t="s">
        <v>215</v>
      </c>
      <c r="D35" s="1">
        <v>227</v>
      </c>
      <c r="E35" s="1" t="s">
        <v>219</v>
      </c>
      <c r="F35" s="1" t="str" cm="1">
        <f t="array" ref="F35:G35">_xlfn.TEXTSPLIT(E35,"-")</f>
        <v>0.6</v>
      </c>
      <c r="G35" s="1" t="str">
        <v>1.2</v>
      </c>
      <c r="H35" t="str">
        <f t="shared" si="0"/>
        <v>Low</v>
      </c>
    </row>
    <row r="36" spans="1:8" x14ac:dyDescent="0.25">
      <c r="A36" s="1">
        <v>35</v>
      </c>
      <c r="B36" s="1">
        <v>137</v>
      </c>
      <c r="C36" s="1" t="s">
        <v>225</v>
      </c>
      <c r="D36" s="1">
        <v>66.8</v>
      </c>
      <c r="E36" s="1" t="s">
        <v>226</v>
      </c>
      <c r="F36" s="1" t="str" cm="1">
        <f t="array" ref="F36:G36">_xlfn.TEXTSPLIT(E36,"-")</f>
        <v>70</v>
      </c>
      <c r="G36" s="1" t="str">
        <v>120</v>
      </c>
      <c r="H36" t="str">
        <f t="shared" si="0"/>
        <v>Low</v>
      </c>
    </row>
    <row r="37" spans="1:8" x14ac:dyDescent="0.25">
      <c r="A37" s="1">
        <v>36</v>
      </c>
      <c r="B37" s="1">
        <v>53</v>
      </c>
      <c r="C37" s="1" t="s">
        <v>225</v>
      </c>
      <c r="D37" s="1">
        <v>195.5</v>
      </c>
      <c r="E37" s="1" t="s">
        <v>218</v>
      </c>
      <c r="F37" s="1" t="str" cm="1">
        <f t="array" ref="F37:G37">_xlfn.TEXTSPLIT(E37,"-")</f>
        <v>13</v>
      </c>
      <c r="G37" s="1" t="str">
        <v>17</v>
      </c>
      <c r="H37" t="str">
        <f t="shared" si="0"/>
        <v>Low</v>
      </c>
    </row>
    <row r="38" spans="1:8" x14ac:dyDescent="0.25">
      <c r="A38" s="1">
        <v>37</v>
      </c>
      <c r="B38" s="1">
        <v>172</v>
      </c>
      <c r="C38" s="1" t="s">
        <v>217</v>
      </c>
      <c r="D38" s="1">
        <v>136.5</v>
      </c>
      <c r="E38" s="1" t="s">
        <v>216</v>
      </c>
      <c r="F38" s="1" t="str" cm="1">
        <f t="array" ref="F38:G38">_xlfn.TEXTSPLIT(E38,"-")</f>
        <v>150</v>
      </c>
      <c r="G38" s="1" t="str">
        <v>200</v>
      </c>
      <c r="H38" t="str">
        <f t="shared" si="0"/>
        <v>Low</v>
      </c>
    </row>
    <row r="39" spans="1:8" x14ac:dyDescent="0.25">
      <c r="A39" s="1">
        <v>38</v>
      </c>
      <c r="B39" s="1">
        <v>99</v>
      </c>
      <c r="C39" s="1" t="s">
        <v>215</v>
      </c>
      <c r="D39" s="1">
        <v>205.2</v>
      </c>
      <c r="E39" s="1" t="s">
        <v>219</v>
      </c>
      <c r="F39" s="1" t="str" cm="1">
        <f t="array" ref="F39:G39">_xlfn.TEXTSPLIT(E39,"-")</f>
        <v>0.6</v>
      </c>
      <c r="G39" s="1" t="str">
        <v>1.2</v>
      </c>
      <c r="H39" t="str">
        <f t="shared" si="0"/>
        <v>Low</v>
      </c>
    </row>
    <row r="40" spans="1:8" x14ac:dyDescent="0.25">
      <c r="A40" s="1">
        <v>39</v>
      </c>
      <c r="B40" s="1">
        <v>86</v>
      </c>
      <c r="C40" s="1" t="s">
        <v>215</v>
      </c>
      <c r="D40" s="1">
        <v>61.4</v>
      </c>
      <c r="E40" s="1" t="s">
        <v>226</v>
      </c>
      <c r="F40" s="1" t="str" cm="1">
        <f t="array" ref="F40:G40">_xlfn.TEXTSPLIT(E40,"-")</f>
        <v>70</v>
      </c>
      <c r="G40" s="1" t="str">
        <v>120</v>
      </c>
      <c r="H40" t="str">
        <f t="shared" si="0"/>
        <v>Low</v>
      </c>
    </row>
    <row r="41" spans="1:8" x14ac:dyDescent="0.25">
      <c r="A41" s="1">
        <v>40</v>
      </c>
      <c r="B41" s="1">
        <v>108</v>
      </c>
      <c r="C41" s="1" t="s">
        <v>222</v>
      </c>
      <c r="D41" s="1">
        <v>267.89999999999998</v>
      </c>
      <c r="E41" s="1" t="s">
        <v>221</v>
      </c>
      <c r="F41" s="1" t="str" cm="1">
        <f t="array" ref="F41:G41">_xlfn.TEXTSPLIT(E41,"/")</f>
        <v>120</v>
      </c>
      <c r="G41" s="1" t="str">
        <v>80</v>
      </c>
      <c r="H41" t="str">
        <f t="shared" si="0"/>
        <v>Low</v>
      </c>
    </row>
    <row r="42" spans="1:8" x14ac:dyDescent="0.25">
      <c r="A42" s="1">
        <v>41</v>
      </c>
      <c r="B42" s="1">
        <v>24</v>
      </c>
      <c r="C42" s="1" t="s">
        <v>223</v>
      </c>
      <c r="D42" s="1">
        <v>293.39999999999998</v>
      </c>
      <c r="E42" s="1" t="s">
        <v>226</v>
      </c>
      <c r="F42" s="1" t="str" cm="1">
        <f t="array" ref="F42:G42">_xlfn.TEXTSPLIT(E42,"-")</f>
        <v>70</v>
      </c>
      <c r="G42" s="1" t="str">
        <v>120</v>
      </c>
      <c r="H42" t="str">
        <f t="shared" si="0"/>
        <v>Low</v>
      </c>
    </row>
    <row r="43" spans="1:8" x14ac:dyDescent="0.25">
      <c r="A43" s="1">
        <v>42</v>
      </c>
      <c r="B43" s="1">
        <v>81</v>
      </c>
      <c r="C43" s="1" t="s">
        <v>225</v>
      </c>
      <c r="D43" s="1">
        <v>292.2</v>
      </c>
      <c r="E43" s="1" t="s">
        <v>226</v>
      </c>
      <c r="F43" s="1" t="str" cm="1">
        <f t="array" ref="F43:G43">_xlfn.TEXTSPLIT(E43,"-")</f>
        <v>70</v>
      </c>
      <c r="G43" s="1" t="str">
        <v>120</v>
      </c>
      <c r="H43" t="str">
        <f t="shared" si="0"/>
        <v>Low</v>
      </c>
    </row>
    <row r="44" spans="1:8" x14ac:dyDescent="0.25">
      <c r="A44" s="1">
        <v>43</v>
      </c>
      <c r="B44" s="1">
        <v>158</v>
      </c>
      <c r="C44" s="1" t="s">
        <v>222</v>
      </c>
      <c r="D44" s="1">
        <v>237.4</v>
      </c>
      <c r="E44" s="1" t="s">
        <v>218</v>
      </c>
      <c r="F44" s="1" t="str" cm="1">
        <f t="array" ref="F44:G44">_xlfn.TEXTSPLIT(E44,"-")</f>
        <v>13</v>
      </c>
      <c r="G44" s="1" t="str">
        <v>17</v>
      </c>
      <c r="H44" t="str">
        <f t="shared" si="0"/>
        <v>Low</v>
      </c>
    </row>
    <row r="45" spans="1:8" x14ac:dyDescent="0.25">
      <c r="A45" s="1">
        <v>44</v>
      </c>
      <c r="B45" s="1">
        <v>120</v>
      </c>
      <c r="C45" s="1" t="s">
        <v>220</v>
      </c>
      <c r="D45" s="1">
        <v>82.5</v>
      </c>
      <c r="E45" s="1" t="s">
        <v>216</v>
      </c>
      <c r="F45" s="1" t="str" cm="1">
        <f t="array" ref="F45:G45">_xlfn.TEXTSPLIT(E45,"-")</f>
        <v>150</v>
      </c>
      <c r="G45" s="1" t="str">
        <v>200</v>
      </c>
      <c r="H45" t="str">
        <f t="shared" si="0"/>
        <v>Low</v>
      </c>
    </row>
    <row r="46" spans="1:8" x14ac:dyDescent="0.25">
      <c r="A46" s="1">
        <v>45</v>
      </c>
      <c r="B46" s="1">
        <v>59</v>
      </c>
      <c r="C46" s="1" t="s">
        <v>225</v>
      </c>
      <c r="D46" s="1">
        <v>239.6</v>
      </c>
      <c r="E46" s="1" t="s">
        <v>221</v>
      </c>
      <c r="F46" s="1" t="str" cm="1">
        <f t="array" ref="F46:G46">_xlfn.TEXTSPLIT(E46,"/")</f>
        <v>120</v>
      </c>
      <c r="G46" s="1" t="str">
        <v>80</v>
      </c>
      <c r="H46" t="str">
        <f t="shared" si="0"/>
        <v>Low</v>
      </c>
    </row>
    <row r="47" spans="1:8" x14ac:dyDescent="0.25">
      <c r="A47" s="1">
        <v>46</v>
      </c>
      <c r="B47" s="1">
        <v>128</v>
      </c>
      <c r="C47" s="1" t="s">
        <v>222</v>
      </c>
      <c r="D47" s="1">
        <v>56.1</v>
      </c>
      <c r="E47" s="1" t="s">
        <v>224</v>
      </c>
      <c r="F47" s="1" t="str" cm="1">
        <f t="array" ref="F47:G47">_xlfn.TEXTSPLIT(E47,"-")</f>
        <v>20</v>
      </c>
      <c r="G47" s="1" t="str">
        <v>50</v>
      </c>
      <c r="H47" t="str">
        <f t="shared" si="0"/>
        <v>Low</v>
      </c>
    </row>
    <row r="48" spans="1:8" x14ac:dyDescent="0.25">
      <c r="A48" s="1">
        <v>47</v>
      </c>
      <c r="B48" s="1">
        <v>114</v>
      </c>
      <c r="C48" s="1" t="s">
        <v>225</v>
      </c>
      <c r="D48" s="1">
        <v>55.5</v>
      </c>
      <c r="E48" s="1" t="s">
        <v>224</v>
      </c>
      <c r="F48" s="1" t="str" cm="1">
        <f t="array" ref="F48:G48">_xlfn.TEXTSPLIT(E48,"-")</f>
        <v>20</v>
      </c>
      <c r="G48" s="1" t="str">
        <v>50</v>
      </c>
      <c r="H48" t="str">
        <f t="shared" si="0"/>
        <v>Low</v>
      </c>
    </row>
    <row r="49" spans="1:8" x14ac:dyDescent="0.25">
      <c r="A49" s="1">
        <v>48</v>
      </c>
      <c r="B49" s="1">
        <v>115</v>
      </c>
      <c r="C49" s="1" t="s">
        <v>223</v>
      </c>
      <c r="D49" s="1">
        <v>130.9</v>
      </c>
      <c r="E49" s="1" t="s">
        <v>226</v>
      </c>
      <c r="F49" s="1" t="str" cm="1">
        <f t="array" ref="F49:G49">_xlfn.TEXTSPLIT(E49,"-")</f>
        <v>70</v>
      </c>
      <c r="G49" s="1" t="str">
        <v>120</v>
      </c>
      <c r="H49" t="str">
        <f t="shared" si="0"/>
        <v>Low</v>
      </c>
    </row>
    <row r="50" spans="1:8" x14ac:dyDescent="0.25">
      <c r="A50" s="1">
        <v>49</v>
      </c>
      <c r="B50" s="1">
        <v>14</v>
      </c>
      <c r="C50" s="1" t="s">
        <v>220</v>
      </c>
      <c r="D50" s="1">
        <v>172.2</v>
      </c>
      <c r="E50" s="1" t="s">
        <v>218</v>
      </c>
      <c r="F50" s="1" t="str" cm="1">
        <f t="array" ref="F50:G50">_xlfn.TEXTSPLIT(E50,"-")</f>
        <v>13</v>
      </c>
      <c r="G50" s="1" t="str">
        <v>17</v>
      </c>
      <c r="H50" t="str">
        <f t="shared" si="0"/>
        <v>Low</v>
      </c>
    </row>
    <row r="51" spans="1:8" x14ac:dyDescent="0.25">
      <c r="A51" s="1">
        <v>50</v>
      </c>
      <c r="B51" s="1">
        <v>9</v>
      </c>
      <c r="C51" s="1" t="s">
        <v>223</v>
      </c>
      <c r="D51" s="1">
        <v>242.6</v>
      </c>
      <c r="E51" s="1" t="s">
        <v>218</v>
      </c>
      <c r="F51" s="1" t="str" cm="1">
        <f t="array" ref="F51:G51">_xlfn.TEXTSPLIT(E51,"-")</f>
        <v>13</v>
      </c>
      <c r="G51" s="1" t="str">
        <v>17</v>
      </c>
      <c r="H51" t="str">
        <f t="shared" si="0"/>
        <v>Low</v>
      </c>
    </row>
    <row r="52" spans="1:8" x14ac:dyDescent="0.25">
      <c r="A52" s="1">
        <v>51</v>
      </c>
      <c r="B52" s="1">
        <v>40</v>
      </c>
      <c r="C52" s="1" t="s">
        <v>220</v>
      </c>
      <c r="D52" s="1">
        <v>220.8</v>
      </c>
      <c r="E52" s="1" t="s">
        <v>224</v>
      </c>
      <c r="F52" s="1" t="str" cm="1">
        <f t="array" ref="F52:G52">_xlfn.TEXTSPLIT(E52,"-")</f>
        <v>20</v>
      </c>
      <c r="G52" s="1" t="str">
        <v>50</v>
      </c>
      <c r="H52" t="str">
        <f t="shared" si="0"/>
        <v>Low</v>
      </c>
    </row>
    <row r="53" spans="1:8" x14ac:dyDescent="0.25">
      <c r="A53" s="1">
        <v>52</v>
      </c>
      <c r="B53" s="1">
        <v>194</v>
      </c>
      <c r="C53" s="1" t="s">
        <v>217</v>
      </c>
      <c r="D53" s="1">
        <v>161.5</v>
      </c>
      <c r="E53" s="1" t="s">
        <v>221</v>
      </c>
      <c r="F53" s="1" t="str" cm="1">
        <f t="array" ref="F53:G53">_xlfn.TEXTSPLIT(E53,"/")</f>
        <v>120</v>
      </c>
      <c r="G53" s="1" t="str">
        <v>80</v>
      </c>
      <c r="H53" t="str">
        <f t="shared" si="0"/>
        <v>Low</v>
      </c>
    </row>
    <row r="54" spans="1:8" x14ac:dyDescent="0.25">
      <c r="A54" s="1">
        <v>53</v>
      </c>
      <c r="B54" s="1">
        <v>25</v>
      </c>
      <c r="C54" s="1" t="s">
        <v>222</v>
      </c>
      <c r="D54" s="1">
        <v>118.4</v>
      </c>
      <c r="E54" s="1" t="s">
        <v>216</v>
      </c>
      <c r="F54" s="1" t="str" cm="1">
        <f t="array" ref="F54:G54">_xlfn.TEXTSPLIT(E54,"-")</f>
        <v>150</v>
      </c>
      <c r="G54" s="1" t="str">
        <v>200</v>
      </c>
      <c r="H54" t="str">
        <f t="shared" si="0"/>
        <v>Low</v>
      </c>
    </row>
    <row r="55" spans="1:8" x14ac:dyDescent="0.25">
      <c r="A55" s="1">
        <v>54</v>
      </c>
      <c r="B55" s="1">
        <v>103</v>
      </c>
      <c r="C55" s="1" t="s">
        <v>220</v>
      </c>
      <c r="D55" s="1">
        <v>299.3</v>
      </c>
      <c r="E55" s="1" t="s">
        <v>221</v>
      </c>
      <c r="F55" s="1" t="str" cm="1">
        <f t="array" ref="F55:G55">_xlfn.TEXTSPLIT(E55,"/")</f>
        <v>120</v>
      </c>
      <c r="G55" s="1" t="str">
        <v>80</v>
      </c>
      <c r="H55" t="str">
        <f t="shared" si="0"/>
        <v>Low</v>
      </c>
    </row>
    <row r="56" spans="1:8" x14ac:dyDescent="0.25">
      <c r="A56" s="1">
        <v>55</v>
      </c>
      <c r="B56" s="1">
        <v>22</v>
      </c>
      <c r="C56" s="1" t="s">
        <v>223</v>
      </c>
      <c r="D56" s="1">
        <v>156.5</v>
      </c>
      <c r="E56" s="1" t="s">
        <v>219</v>
      </c>
      <c r="F56" s="1" t="str" cm="1">
        <f t="array" ref="F56:G56">_xlfn.TEXTSPLIT(E56,"-")</f>
        <v>0.6</v>
      </c>
      <c r="G56" s="1" t="str">
        <v>1.2</v>
      </c>
      <c r="H56" t="str">
        <f t="shared" si="0"/>
        <v>Low</v>
      </c>
    </row>
    <row r="57" spans="1:8" x14ac:dyDescent="0.25">
      <c r="A57" s="1">
        <v>56</v>
      </c>
      <c r="B57" s="1">
        <v>4</v>
      </c>
      <c r="C57" s="1" t="s">
        <v>225</v>
      </c>
      <c r="D57" s="1">
        <v>162.80000000000001</v>
      </c>
      <c r="E57" s="1" t="s">
        <v>219</v>
      </c>
      <c r="F57" s="1" t="str" cm="1">
        <f t="array" ref="F57:G57">_xlfn.TEXTSPLIT(E57,"-")</f>
        <v>0.6</v>
      </c>
      <c r="G57" s="1" t="str">
        <v>1.2</v>
      </c>
      <c r="H57" t="str">
        <f t="shared" si="0"/>
        <v>Low</v>
      </c>
    </row>
    <row r="58" spans="1:8" x14ac:dyDescent="0.25">
      <c r="A58" s="1">
        <v>57</v>
      </c>
      <c r="B58" s="1">
        <v>154</v>
      </c>
      <c r="C58" s="1" t="s">
        <v>220</v>
      </c>
      <c r="D58" s="1">
        <v>90.9</v>
      </c>
      <c r="E58" s="1" t="s">
        <v>216</v>
      </c>
      <c r="F58" s="1" t="str" cm="1">
        <f t="array" ref="F58:G58">_xlfn.TEXTSPLIT(E58,"-")</f>
        <v>150</v>
      </c>
      <c r="G58" s="1" t="str">
        <v>200</v>
      </c>
      <c r="H58" t="str">
        <f t="shared" si="0"/>
        <v>Low</v>
      </c>
    </row>
    <row r="59" spans="1:8" x14ac:dyDescent="0.25">
      <c r="A59" s="1">
        <v>58</v>
      </c>
      <c r="B59" s="1">
        <v>186</v>
      </c>
      <c r="C59" s="1" t="s">
        <v>222</v>
      </c>
      <c r="D59" s="1">
        <v>248.7</v>
      </c>
      <c r="E59" s="1" t="s">
        <v>224</v>
      </c>
      <c r="F59" s="1" t="str" cm="1">
        <f t="array" ref="F59:G59">_xlfn.TEXTSPLIT(E59,"-")</f>
        <v>20</v>
      </c>
      <c r="G59" s="1" t="str">
        <v>50</v>
      </c>
      <c r="H59" t="str">
        <f t="shared" si="0"/>
        <v>Low</v>
      </c>
    </row>
    <row r="60" spans="1:8" x14ac:dyDescent="0.25">
      <c r="A60" s="1">
        <v>59</v>
      </c>
      <c r="B60" s="1">
        <v>29</v>
      </c>
      <c r="C60" s="1" t="s">
        <v>220</v>
      </c>
      <c r="D60" s="1">
        <v>223.4</v>
      </c>
      <c r="E60" s="1" t="s">
        <v>216</v>
      </c>
      <c r="F60" s="1" t="str" cm="1">
        <f t="array" ref="F60:G60">_xlfn.TEXTSPLIT(E60,"-")</f>
        <v>150</v>
      </c>
      <c r="G60" s="1" t="str">
        <v>200</v>
      </c>
      <c r="H60" t="str">
        <f t="shared" si="0"/>
        <v>Low</v>
      </c>
    </row>
    <row r="61" spans="1:8" x14ac:dyDescent="0.25">
      <c r="A61" s="1">
        <v>60</v>
      </c>
      <c r="B61" s="1">
        <v>109</v>
      </c>
      <c r="C61" s="1" t="s">
        <v>215</v>
      </c>
      <c r="D61" s="1">
        <v>105.2</v>
      </c>
      <c r="E61" s="1" t="s">
        <v>218</v>
      </c>
      <c r="F61" s="1" t="str" cm="1">
        <f t="array" ref="F61:G61">_xlfn.TEXTSPLIT(E61,"-")</f>
        <v>13</v>
      </c>
      <c r="G61" s="1" t="str">
        <v>17</v>
      </c>
      <c r="H61" t="str">
        <f t="shared" si="0"/>
        <v>Low</v>
      </c>
    </row>
    <row r="62" spans="1:8" x14ac:dyDescent="0.25">
      <c r="A62" s="1">
        <v>61</v>
      </c>
      <c r="B62" s="1">
        <v>98</v>
      </c>
      <c r="C62" s="1" t="s">
        <v>225</v>
      </c>
      <c r="D62" s="1">
        <v>70.599999999999994</v>
      </c>
      <c r="E62" s="1" t="s">
        <v>219</v>
      </c>
      <c r="F62" s="1" t="str" cm="1">
        <f t="array" ref="F62:G62">_xlfn.TEXTSPLIT(E62,"-")</f>
        <v>0.6</v>
      </c>
      <c r="G62" s="1" t="str">
        <v>1.2</v>
      </c>
      <c r="H62" t="str">
        <f t="shared" si="0"/>
        <v>Low</v>
      </c>
    </row>
    <row r="63" spans="1:8" x14ac:dyDescent="0.25">
      <c r="A63" s="1">
        <v>62</v>
      </c>
      <c r="B63" s="1">
        <v>37</v>
      </c>
      <c r="C63" s="1" t="s">
        <v>222</v>
      </c>
      <c r="D63" s="1">
        <v>220.1</v>
      </c>
      <c r="E63" s="1" t="s">
        <v>226</v>
      </c>
      <c r="F63" s="1" t="str" cm="1">
        <f t="array" ref="F63:G63">_xlfn.TEXTSPLIT(E63,"-")</f>
        <v>70</v>
      </c>
      <c r="G63" s="1" t="str">
        <v>120</v>
      </c>
      <c r="H63" t="str">
        <f t="shared" si="0"/>
        <v>Low</v>
      </c>
    </row>
    <row r="64" spans="1:8" x14ac:dyDescent="0.25">
      <c r="A64" s="1">
        <v>63</v>
      </c>
      <c r="B64" s="1">
        <v>75</v>
      </c>
      <c r="C64" s="1" t="s">
        <v>222</v>
      </c>
      <c r="D64" s="1">
        <v>213.6</v>
      </c>
      <c r="E64" s="1" t="s">
        <v>226</v>
      </c>
      <c r="F64" s="1" t="str" cm="1">
        <f t="array" ref="F64:G64">_xlfn.TEXTSPLIT(E64,"-")</f>
        <v>70</v>
      </c>
      <c r="G64" s="1" t="str">
        <v>120</v>
      </c>
      <c r="H64" t="str">
        <f t="shared" si="0"/>
        <v>Low</v>
      </c>
    </row>
    <row r="65" spans="1:8" x14ac:dyDescent="0.25">
      <c r="A65" s="1">
        <v>64</v>
      </c>
      <c r="B65" s="1">
        <v>70</v>
      </c>
      <c r="C65" s="1" t="s">
        <v>217</v>
      </c>
      <c r="D65" s="1">
        <v>118.3</v>
      </c>
      <c r="E65" s="1" t="s">
        <v>224</v>
      </c>
      <c r="F65" s="1" t="str" cm="1">
        <f t="array" ref="F65:G65">_xlfn.TEXTSPLIT(E65,"-")</f>
        <v>20</v>
      </c>
      <c r="G65" s="1" t="str">
        <v>50</v>
      </c>
      <c r="H65" t="str">
        <f t="shared" si="0"/>
        <v>Low</v>
      </c>
    </row>
    <row r="66" spans="1:8" x14ac:dyDescent="0.25">
      <c r="A66" s="1">
        <v>65</v>
      </c>
      <c r="B66" s="1">
        <v>146</v>
      </c>
      <c r="C66" s="1" t="s">
        <v>223</v>
      </c>
      <c r="D66" s="1">
        <v>287.7</v>
      </c>
      <c r="E66" s="1" t="s">
        <v>218</v>
      </c>
      <c r="F66" s="1" t="str" cm="1">
        <f t="array" ref="F66:G66">_xlfn.TEXTSPLIT(E66,"-")</f>
        <v>13</v>
      </c>
      <c r="G66" s="1" t="str">
        <v>17</v>
      </c>
      <c r="H66" t="str">
        <f t="shared" si="0"/>
        <v>Low</v>
      </c>
    </row>
    <row r="67" spans="1:8" x14ac:dyDescent="0.25">
      <c r="A67" s="1">
        <v>66</v>
      </c>
      <c r="B67" s="1">
        <v>128</v>
      </c>
      <c r="C67" s="1" t="s">
        <v>217</v>
      </c>
      <c r="D67" s="1">
        <v>87.8</v>
      </c>
      <c r="E67" s="1" t="s">
        <v>221</v>
      </c>
      <c r="F67" s="1" t="str" cm="1">
        <f t="array" ref="F67:G67">_xlfn.TEXTSPLIT(E67,"/")</f>
        <v>120</v>
      </c>
      <c r="G67" s="1" t="str">
        <v>80</v>
      </c>
      <c r="H67" t="str">
        <f t="shared" ref="H67:H130" si="1">IF(D67 &lt; F67, "Low", IF(D67 &gt; G67, "High", "Normal"))</f>
        <v>Low</v>
      </c>
    </row>
    <row r="68" spans="1:8" x14ac:dyDescent="0.25">
      <c r="A68" s="1">
        <v>67</v>
      </c>
      <c r="B68" s="1">
        <v>85</v>
      </c>
      <c r="C68" s="1" t="s">
        <v>222</v>
      </c>
      <c r="D68" s="1">
        <v>158.1</v>
      </c>
      <c r="E68" s="1" t="s">
        <v>218</v>
      </c>
      <c r="F68" s="1" t="str" cm="1">
        <f t="array" ref="F68:G68">_xlfn.TEXTSPLIT(E68,"-")</f>
        <v>13</v>
      </c>
      <c r="G68" s="1" t="str">
        <v>17</v>
      </c>
      <c r="H68" t="str">
        <f t="shared" si="1"/>
        <v>Low</v>
      </c>
    </row>
    <row r="69" spans="1:8" x14ac:dyDescent="0.25">
      <c r="A69" s="1">
        <v>68</v>
      </c>
      <c r="B69" s="1">
        <v>42</v>
      </c>
      <c r="C69" s="1" t="s">
        <v>225</v>
      </c>
      <c r="D69" s="1">
        <v>285.89999999999998</v>
      </c>
      <c r="E69" s="1" t="s">
        <v>226</v>
      </c>
      <c r="F69" s="1" t="str" cm="1">
        <f t="array" ref="F69:G69">_xlfn.TEXTSPLIT(E69,"-")</f>
        <v>70</v>
      </c>
      <c r="G69" s="1" t="str">
        <v>120</v>
      </c>
      <c r="H69" t="str">
        <f t="shared" si="1"/>
        <v>Low</v>
      </c>
    </row>
    <row r="70" spans="1:8" x14ac:dyDescent="0.25">
      <c r="A70" s="1">
        <v>69</v>
      </c>
      <c r="B70" s="1">
        <v>100</v>
      </c>
      <c r="C70" s="1" t="s">
        <v>220</v>
      </c>
      <c r="D70" s="1">
        <v>154.9</v>
      </c>
      <c r="E70" s="1" t="s">
        <v>226</v>
      </c>
      <c r="F70" s="1" t="str" cm="1">
        <f t="array" ref="F70:G70">_xlfn.TEXTSPLIT(E70,"-")</f>
        <v>70</v>
      </c>
      <c r="G70" s="1" t="str">
        <v>120</v>
      </c>
      <c r="H70" t="str">
        <f t="shared" si="1"/>
        <v>Low</v>
      </c>
    </row>
    <row r="71" spans="1:8" x14ac:dyDescent="0.25">
      <c r="A71" s="1">
        <v>70</v>
      </c>
      <c r="B71" s="1">
        <v>41</v>
      </c>
      <c r="C71" s="1" t="s">
        <v>220</v>
      </c>
      <c r="D71" s="1">
        <v>209.6</v>
      </c>
      <c r="E71" s="1" t="s">
        <v>219</v>
      </c>
      <c r="F71" s="1" t="str" cm="1">
        <f t="array" ref="F71:G71">_xlfn.TEXTSPLIT(E71,"-")</f>
        <v>0.6</v>
      </c>
      <c r="G71" s="1" t="str">
        <v>1.2</v>
      </c>
      <c r="H71" t="str">
        <f t="shared" si="1"/>
        <v>Low</v>
      </c>
    </row>
    <row r="72" spans="1:8" x14ac:dyDescent="0.25">
      <c r="A72" s="1">
        <v>71</v>
      </c>
      <c r="B72" s="1">
        <v>166</v>
      </c>
      <c r="C72" s="1" t="s">
        <v>225</v>
      </c>
      <c r="D72" s="1">
        <v>149.4</v>
      </c>
      <c r="E72" s="1" t="s">
        <v>218</v>
      </c>
      <c r="F72" s="1" t="str" cm="1">
        <f t="array" ref="F72:G72">_xlfn.TEXTSPLIT(E72,"-")</f>
        <v>13</v>
      </c>
      <c r="G72" s="1" t="str">
        <v>17</v>
      </c>
      <c r="H72" t="str">
        <f t="shared" si="1"/>
        <v>Low</v>
      </c>
    </row>
    <row r="73" spans="1:8" x14ac:dyDescent="0.25">
      <c r="A73" s="1">
        <v>72</v>
      </c>
      <c r="B73" s="1">
        <v>34</v>
      </c>
      <c r="C73" s="1" t="s">
        <v>222</v>
      </c>
      <c r="D73" s="1">
        <v>118.6</v>
      </c>
      <c r="E73" s="1" t="s">
        <v>218</v>
      </c>
      <c r="F73" s="1" t="str" cm="1">
        <f t="array" ref="F73:G73">_xlfn.TEXTSPLIT(E73,"-")</f>
        <v>13</v>
      </c>
      <c r="G73" s="1" t="str">
        <v>17</v>
      </c>
      <c r="H73" t="str">
        <f t="shared" si="1"/>
        <v>Low</v>
      </c>
    </row>
    <row r="74" spans="1:8" x14ac:dyDescent="0.25">
      <c r="A74" s="1">
        <v>73</v>
      </c>
      <c r="B74" s="1">
        <v>17</v>
      </c>
      <c r="C74" s="1" t="s">
        <v>220</v>
      </c>
      <c r="D74" s="1">
        <v>296</v>
      </c>
      <c r="E74" s="1" t="s">
        <v>226</v>
      </c>
      <c r="F74" s="1" t="str" cm="1">
        <f t="array" ref="F74:G74">_xlfn.TEXTSPLIT(E74,"-")</f>
        <v>70</v>
      </c>
      <c r="G74" s="1" t="str">
        <v>120</v>
      </c>
      <c r="H74" t="str">
        <f t="shared" si="1"/>
        <v>Low</v>
      </c>
    </row>
    <row r="75" spans="1:8" x14ac:dyDescent="0.25">
      <c r="A75" s="1">
        <v>74</v>
      </c>
      <c r="B75" s="1">
        <v>165</v>
      </c>
      <c r="C75" s="1" t="s">
        <v>220</v>
      </c>
      <c r="D75" s="1">
        <v>152.30000000000001</v>
      </c>
      <c r="E75" s="1" t="s">
        <v>221</v>
      </c>
      <c r="F75" s="1" t="str" cm="1">
        <f t="array" ref="F75:G75">_xlfn.TEXTSPLIT(E75,"/")</f>
        <v>120</v>
      </c>
      <c r="G75" s="1" t="str">
        <v>80</v>
      </c>
      <c r="H75" t="str">
        <f t="shared" si="1"/>
        <v>Low</v>
      </c>
    </row>
    <row r="76" spans="1:8" x14ac:dyDescent="0.25">
      <c r="A76" s="1">
        <v>75</v>
      </c>
      <c r="B76" s="1">
        <v>153</v>
      </c>
      <c r="C76" s="1" t="s">
        <v>220</v>
      </c>
      <c r="D76" s="1">
        <v>273.5</v>
      </c>
      <c r="E76" s="1" t="s">
        <v>224</v>
      </c>
      <c r="F76" s="1" t="str" cm="1">
        <f t="array" ref="F76:G76">_xlfn.TEXTSPLIT(E76,"-")</f>
        <v>20</v>
      </c>
      <c r="G76" s="1" t="str">
        <v>50</v>
      </c>
      <c r="H76" t="str">
        <f t="shared" si="1"/>
        <v>Low</v>
      </c>
    </row>
    <row r="77" spans="1:8" x14ac:dyDescent="0.25">
      <c r="A77" s="1">
        <v>76</v>
      </c>
      <c r="B77" s="1">
        <v>122</v>
      </c>
      <c r="C77" s="1" t="s">
        <v>223</v>
      </c>
      <c r="D77" s="1">
        <v>107.5</v>
      </c>
      <c r="E77" s="1" t="s">
        <v>224</v>
      </c>
      <c r="F77" s="1" t="str" cm="1">
        <f t="array" ref="F77:G77">_xlfn.TEXTSPLIT(E77,"-")</f>
        <v>20</v>
      </c>
      <c r="G77" s="1" t="str">
        <v>50</v>
      </c>
      <c r="H77" t="str">
        <f t="shared" si="1"/>
        <v>Low</v>
      </c>
    </row>
    <row r="78" spans="1:8" x14ac:dyDescent="0.25">
      <c r="A78" s="1">
        <v>77</v>
      </c>
      <c r="B78" s="1">
        <v>76</v>
      </c>
      <c r="C78" s="1" t="s">
        <v>223</v>
      </c>
      <c r="D78" s="1">
        <v>103.3</v>
      </c>
      <c r="E78" s="1" t="s">
        <v>218</v>
      </c>
      <c r="F78" s="1" t="str" cm="1">
        <f t="array" ref="F78:G78">_xlfn.TEXTSPLIT(E78,"-")</f>
        <v>13</v>
      </c>
      <c r="G78" s="1" t="str">
        <v>17</v>
      </c>
      <c r="H78" t="str">
        <f t="shared" si="1"/>
        <v>Low</v>
      </c>
    </row>
    <row r="79" spans="1:8" x14ac:dyDescent="0.25">
      <c r="A79" s="1">
        <v>78</v>
      </c>
      <c r="B79" s="1">
        <v>87</v>
      </c>
      <c r="C79" s="1" t="s">
        <v>215</v>
      </c>
      <c r="D79" s="1">
        <v>57.8</v>
      </c>
      <c r="E79" s="1" t="s">
        <v>224</v>
      </c>
      <c r="F79" s="1" t="str" cm="1">
        <f t="array" ref="F79:G79">_xlfn.TEXTSPLIT(E79,"-")</f>
        <v>20</v>
      </c>
      <c r="G79" s="1" t="str">
        <v>50</v>
      </c>
      <c r="H79" t="str">
        <f t="shared" si="1"/>
        <v>Low</v>
      </c>
    </row>
    <row r="80" spans="1:8" x14ac:dyDescent="0.25">
      <c r="A80" s="1">
        <v>79</v>
      </c>
      <c r="B80" s="1">
        <v>117</v>
      </c>
      <c r="C80" s="1" t="s">
        <v>217</v>
      </c>
      <c r="D80" s="1">
        <v>212.9</v>
      </c>
      <c r="E80" s="1" t="s">
        <v>226</v>
      </c>
      <c r="F80" s="1" t="str" cm="1">
        <f t="array" ref="F80:G80">_xlfn.TEXTSPLIT(E80,"-")</f>
        <v>70</v>
      </c>
      <c r="G80" s="1" t="str">
        <v>120</v>
      </c>
      <c r="H80" t="str">
        <f t="shared" si="1"/>
        <v>Low</v>
      </c>
    </row>
    <row r="81" spans="1:8" x14ac:dyDescent="0.25">
      <c r="A81" s="1">
        <v>80</v>
      </c>
      <c r="B81" s="1">
        <v>106</v>
      </c>
      <c r="C81" s="1" t="s">
        <v>225</v>
      </c>
      <c r="D81" s="1">
        <v>142.1</v>
      </c>
      <c r="E81" s="1" t="s">
        <v>226</v>
      </c>
      <c r="F81" s="1" t="str" cm="1">
        <f t="array" ref="F81:G81">_xlfn.TEXTSPLIT(E81,"-")</f>
        <v>70</v>
      </c>
      <c r="G81" s="1" t="str">
        <v>120</v>
      </c>
      <c r="H81" t="str">
        <f t="shared" si="1"/>
        <v>Low</v>
      </c>
    </row>
    <row r="82" spans="1:8" x14ac:dyDescent="0.25">
      <c r="A82" s="1">
        <v>81</v>
      </c>
      <c r="B82" s="1">
        <v>86</v>
      </c>
      <c r="C82" s="1" t="s">
        <v>225</v>
      </c>
      <c r="D82" s="1">
        <v>266.10000000000002</v>
      </c>
      <c r="E82" s="1" t="s">
        <v>218</v>
      </c>
      <c r="F82" s="1" t="str" cm="1">
        <f t="array" ref="F82:G82">_xlfn.TEXTSPLIT(E82,"-")</f>
        <v>13</v>
      </c>
      <c r="G82" s="1" t="str">
        <v>17</v>
      </c>
      <c r="H82" t="str">
        <f t="shared" si="1"/>
        <v>Low</v>
      </c>
    </row>
    <row r="83" spans="1:8" x14ac:dyDescent="0.25">
      <c r="A83" s="1">
        <v>82</v>
      </c>
      <c r="B83" s="1">
        <v>27</v>
      </c>
      <c r="C83" s="1" t="s">
        <v>225</v>
      </c>
      <c r="D83" s="1">
        <v>168.3</v>
      </c>
      <c r="E83" s="1" t="s">
        <v>218</v>
      </c>
      <c r="F83" s="1" t="str" cm="1">
        <f t="array" ref="F83:G83">_xlfn.TEXTSPLIT(E83,"-")</f>
        <v>13</v>
      </c>
      <c r="G83" s="1" t="str">
        <v>17</v>
      </c>
      <c r="H83" t="str">
        <f t="shared" si="1"/>
        <v>Low</v>
      </c>
    </row>
    <row r="84" spans="1:8" x14ac:dyDescent="0.25">
      <c r="A84" s="1">
        <v>83</v>
      </c>
      <c r="B84" s="1">
        <v>57</v>
      </c>
      <c r="C84" s="1" t="s">
        <v>215</v>
      </c>
      <c r="D84" s="1">
        <v>292</v>
      </c>
      <c r="E84" s="1" t="s">
        <v>219</v>
      </c>
      <c r="F84" s="1" t="str" cm="1">
        <f t="array" ref="F84:G84">_xlfn.TEXTSPLIT(E84,"-")</f>
        <v>0.6</v>
      </c>
      <c r="G84" s="1" t="str">
        <v>1.2</v>
      </c>
      <c r="H84" t="str">
        <f t="shared" si="1"/>
        <v>Low</v>
      </c>
    </row>
    <row r="85" spans="1:8" x14ac:dyDescent="0.25">
      <c r="A85" s="1">
        <v>84</v>
      </c>
      <c r="B85" s="1">
        <v>31</v>
      </c>
      <c r="C85" s="1" t="s">
        <v>223</v>
      </c>
      <c r="D85" s="1">
        <v>96.4</v>
      </c>
      <c r="E85" s="1" t="s">
        <v>218</v>
      </c>
      <c r="F85" s="1" t="str" cm="1">
        <f t="array" ref="F85:G85">_xlfn.TEXTSPLIT(E85,"-")</f>
        <v>13</v>
      </c>
      <c r="G85" s="1" t="str">
        <v>17</v>
      </c>
      <c r="H85" t="str">
        <f t="shared" si="1"/>
        <v>Low</v>
      </c>
    </row>
    <row r="86" spans="1:8" x14ac:dyDescent="0.25">
      <c r="A86" s="1">
        <v>85</v>
      </c>
      <c r="B86" s="1">
        <v>134</v>
      </c>
      <c r="C86" s="1" t="s">
        <v>222</v>
      </c>
      <c r="D86" s="1">
        <v>267.2</v>
      </c>
      <c r="E86" s="1" t="s">
        <v>221</v>
      </c>
      <c r="F86" s="1" t="str" cm="1">
        <f t="array" ref="F86:G86">_xlfn.TEXTSPLIT(E86,"/")</f>
        <v>120</v>
      </c>
      <c r="G86" s="1" t="str">
        <v>80</v>
      </c>
      <c r="H86" t="str">
        <f t="shared" si="1"/>
        <v>Low</v>
      </c>
    </row>
    <row r="87" spans="1:8" x14ac:dyDescent="0.25">
      <c r="A87" s="1">
        <v>86</v>
      </c>
      <c r="B87" s="1">
        <v>168</v>
      </c>
      <c r="C87" s="1" t="s">
        <v>222</v>
      </c>
      <c r="D87" s="1">
        <v>244.1</v>
      </c>
      <c r="E87" s="1" t="s">
        <v>224</v>
      </c>
      <c r="F87" s="1" t="str" cm="1">
        <f t="array" ref="F87:G87">_xlfn.TEXTSPLIT(E87,"-")</f>
        <v>20</v>
      </c>
      <c r="G87" s="1" t="str">
        <v>50</v>
      </c>
      <c r="H87" t="str">
        <f t="shared" si="1"/>
        <v>Low</v>
      </c>
    </row>
    <row r="88" spans="1:8" x14ac:dyDescent="0.25">
      <c r="A88" s="1">
        <v>87</v>
      </c>
      <c r="B88" s="1">
        <v>98</v>
      </c>
      <c r="C88" s="1" t="s">
        <v>215</v>
      </c>
      <c r="D88" s="1">
        <v>242.7</v>
      </c>
      <c r="E88" s="1" t="s">
        <v>218</v>
      </c>
      <c r="F88" s="1" t="str" cm="1">
        <f t="array" ref="F88:G88">_xlfn.TEXTSPLIT(E88,"-")</f>
        <v>13</v>
      </c>
      <c r="G88" s="1" t="str">
        <v>17</v>
      </c>
      <c r="H88" t="str">
        <f t="shared" si="1"/>
        <v>Low</v>
      </c>
    </row>
    <row r="89" spans="1:8" x14ac:dyDescent="0.25">
      <c r="A89" s="1">
        <v>88</v>
      </c>
      <c r="B89" s="1">
        <v>12</v>
      </c>
      <c r="C89" s="1" t="s">
        <v>222</v>
      </c>
      <c r="D89" s="1">
        <v>261.2</v>
      </c>
      <c r="E89" s="1" t="s">
        <v>216</v>
      </c>
      <c r="F89" s="1" t="str" cm="1">
        <f t="array" ref="F89:G89">_xlfn.TEXTSPLIT(E89,"-")</f>
        <v>150</v>
      </c>
      <c r="G89" s="1" t="str">
        <v>200</v>
      </c>
      <c r="H89" t="str">
        <f t="shared" si="1"/>
        <v>Low</v>
      </c>
    </row>
    <row r="90" spans="1:8" x14ac:dyDescent="0.25">
      <c r="A90" s="1">
        <v>89</v>
      </c>
      <c r="B90" s="1">
        <v>53</v>
      </c>
      <c r="C90" s="1" t="s">
        <v>225</v>
      </c>
      <c r="D90" s="1">
        <v>240.3</v>
      </c>
      <c r="E90" s="1" t="s">
        <v>219</v>
      </c>
      <c r="F90" s="1" t="str" cm="1">
        <f t="array" ref="F90:G90">_xlfn.TEXTSPLIT(E90,"-")</f>
        <v>0.6</v>
      </c>
      <c r="G90" s="1" t="str">
        <v>1.2</v>
      </c>
      <c r="H90" t="str">
        <f t="shared" si="1"/>
        <v>Low</v>
      </c>
    </row>
    <row r="91" spans="1:8" x14ac:dyDescent="0.25">
      <c r="A91" s="1">
        <v>90</v>
      </c>
      <c r="B91" s="1">
        <v>199</v>
      </c>
      <c r="C91" s="1" t="s">
        <v>217</v>
      </c>
      <c r="D91" s="1">
        <v>206.6</v>
      </c>
      <c r="E91" s="1" t="s">
        <v>216</v>
      </c>
      <c r="F91" s="1" t="str" cm="1">
        <f t="array" ref="F91:G91">_xlfn.TEXTSPLIT(E91,"-")</f>
        <v>150</v>
      </c>
      <c r="G91" s="1" t="str">
        <v>200</v>
      </c>
      <c r="H91" t="str">
        <f t="shared" si="1"/>
        <v>Low</v>
      </c>
    </row>
    <row r="92" spans="1:8" x14ac:dyDescent="0.25">
      <c r="A92" s="1">
        <v>91</v>
      </c>
      <c r="B92" s="1">
        <v>138</v>
      </c>
      <c r="C92" s="1" t="s">
        <v>220</v>
      </c>
      <c r="D92" s="1">
        <v>82.8</v>
      </c>
      <c r="E92" s="1" t="s">
        <v>226</v>
      </c>
      <c r="F92" s="1" t="str" cm="1">
        <f t="array" ref="F92:G92">_xlfn.TEXTSPLIT(E92,"-")</f>
        <v>70</v>
      </c>
      <c r="G92" s="1" t="str">
        <v>120</v>
      </c>
      <c r="H92" t="str">
        <f t="shared" si="1"/>
        <v>Low</v>
      </c>
    </row>
    <row r="93" spans="1:8" x14ac:dyDescent="0.25">
      <c r="A93" s="1">
        <v>92</v>
      </c>
      <c r="B93" s="1">
        <v>173</v>
      </c>
      <c r="C93" s="1" t="s">
        <v>223</v>
      </c>
      <c r="D93" s="1">
        <v>58.1</v>
      </c>
      <c r="E93" s="1" t="s">
        <v>224</v>
      </c>
      <c r="F93" s="1" t="str" cm="1">
        <f t="array" ref="F93:G93">_xlfn.TEXTSPLIT(E93,"-")</f>
        <v>20</v>
      </c>
      <c r="G93" s="1" t="str">
        <v>50</v>
      </c>
      <c r="H93" t="str">
        <f t="shared" si="1"/>
        <v>Low</v>
      </c>
    </row>
    <row r="94" spans="1:8" x14ac:dyDescent="0.25">
      <c r="A94" s="1">
        <v>93</v>
      </c>
      <c r="B94" s="1">
        <v>145</v>
      </c>
      <c r="C94" s="1" t="s">
        <v>223</v>
      </c>
      <c r="D94" s="1">
        <v>280.2</v>
      </c>
      <c r="E94" s="1" t="s">
        <v>218</v>
      </c>
      <c r="F94" s="1" t="str" cm="1">
        <f t="array" ref="F94:G94">_xlfn.TEXTSPLIT(E94,"-")</f>
        <v>13</v>
      </c>
      <c r="G94" s="1" t="str">
        <v>17</v>
      </c>
      <c r="H94" t="str">
        <f t="shared" si="1"/>
        <v>Low</v>
      </c>
    </row>
    <row r="95" spans="1:8" x14ac:dyDescent="0.25">
      <c r="A95" s="1">
        <v>94</v>
      </c>
      <c r="B95" s="1">
        <v>154</v>
      </c>
      <c r="C95" s="1" t="s">
        <v>215</v>
      </c>
      <c r="D95" s="1">
        <v>204.2</v>
      </c>
      <c r="E95" s="1" t="s">
        <v>216</v>
      </c>
      <c r="F95" s="1" t="str" cm="1">
        <f t="array" ref="F95:G95">_xlfn.TEXTSPLIT(E95,"-")</f>
        <v>150</v>
      </c>
      <c r="G95" s="1" t="str">
        <v>200</v>
      </c>
      <c r="H95" t="str">
        <f t="shared" si="1"/>
        <v>Low</v>
      </c>
    </row>
    <row r="96" spans="1:8" x14ac:dyDescent="0.25">
      <c r="A96" s="1">
        <v>95</v>
      </c>
      <c r="B96" s="1">
        <v>190</v>
      </c>
      <c r="C96" s="1" t="s">
        <v>223</v>
      </c>
      <c r="D96" s="1">
        <v>249.1</v>
      </c>
      <c r="E96" s="1" t="s">
        <v>224</v>
      </c>
      <c r="F96" s="1" t="str" cm="1">
        <f t="array" ref="F96:G96">_xlfn.TEXTSPLIT(E96,"-")</f>
        <v>20</v>
      </c>
      <c r="G96" s="1" t="str">
        <v>50</v>
      </c>
      <c r="H96" t="str">
        <f t="shared" si="1"/>
        <v>Low</v>
      </c>
    </row>
    <row r="97" spans="1:8" x14ac:dyDescent="0.25">
      <c r="A97" s="1">
        <v>96</v>
      </c>
      <c r="B97" s="1">
        <v>122</v>
      </c>
      <c r="C97" s="1" t="s">
        <v>225</v>
      </c>
      <c r="D97" s="1">
        <v>170.4</v>
      </c>
      <c r="E97" s="1" t="s">
        <v>226</v>
      </c>
      <c r="F97" s="1" t="str" cm="1">
        <f t="array" ref="F97:G97">_xlfn.TEXTSPLIT(E97,"-")</f>
        <v>70</v>
      </c>
      <c r="G97" s="1" t="str">
        <v>120</v>
      </c>
      <c r="H97" t="str">
        <f t="shared" si="1"/>
        <v>Low</v>
      </c>
    </row>
    <row r="98" spans="1:8" x14ac:dyDescent="0.25">
      <c r="A98" s="1">
        <v>97</v>
      </c>
      <c r="B98" s="1">
        <v>46</v>
      </c>
      <c r="C98" s="1" t="s">
        <v>222</v>
      </c>
      <c r="D98" s="1">
        <v>79.3</v>
      </c>
      <c r="E98" s="1" t="s">
        <v>221</v>
      </c>
      <c r="F98" s="1" t="str" cm="1">
        <f t="array" ref="F98:G98">_xlfn.TEXTSPLIT(E98,"/")</f>
        <v>120</v>
      </c>
      <c r="G98" s="1" t="str">
        <v>80</v>
      </c>
      <c r="H98" t="str">
        <f t="shared" si="1"/>
        <v>Low</v>
      </c>
    </row>
    <row r="99" spans="1:8" x14ac:dyDescent="0.25">
      <c r="A99" s="1">
        <v>98</v>
      </c>
      <c r="B99" s="1">
        <v>64</v>
      </c>
      <c r="C99" s="1" t="s">
        <v>225</v>
      </c>
      <c r="D99" s="1">
        <v>81.3</v>
      </c>
      <c r="E99" s="1" t="s">
        <v>219</v>
      </c>
      <c r="F99" s="1" t="str" cm="1">
        <f t="array" ref="F99:G99">_xlfn.TEXTSPLIT(E99,"-")</f>
        <v>0.6</v>
      </c>
      <c r="G99" s="1" t="str">
        <v>1.2</v>
      </c>
      <c r="H99" t="str">
        <f t="shared" si="1"/>
        <v>Low</v>
      </c>
    </row>
    <row r="100" spans="1:8" x14ac:dyDescent="0.25">
      <c r="A100" s="1">
        <v>99</v>
      </c>
      <c r="B100" s="1">
        <v>130</v>
      </c>
      <c r="C100" s="1" t="s">
        <v>215</v>
      </c>
      <c r="D100" s="1">
        <v>221.4</v>
      </c>
      <c r="E100" s="1" t="s">
        <v>224</v>
      </c>
      <c r="F100" s="1" t="str" cm="1">
        <f t="array" ref="F100:G100">_xlfn.TEXTSPLIT(E100,"-")</f>
        <v>20</v>
      </c>
      <c r="G100" s="1" t="str">
        <v>50</v>
      </c>
      <c r="H100" t="str">
        <f t="shared" si="1"/>
        <v>Low</v>
      </c>
    </row>
    <row r="101" spans="1:8" x14ac:dyDescent="0.25">
      <c r="A101" s="1">
        <v>100</v>
      </c>
      <c r="B101" s="1">
        <v>54</v>
      </c>
      <c r="C101" s="1" t="s">
        <v>225</v>
      </c>
      <c r="D101" s="1">
        <v>157.6</v>
      </c>
      <c r="E101" s="1" t="s">
        <v>224</v>
      </c>
      <c r="F101" s="1" t="str" cm="1">
        <f t="array" ref="F101:G101">_xlfn.TEXTSPLIT(E101,"-")</f>
        <v>20</v>
      </c>
      <c r="G101" s="1" t="str">
        <v>50</v>
      </c>
      <c r="H101" t="str">
        <f t="shared" si="1"/>
        <v>Low</v>
      </c>
    </row>
    <row r="102" spans="1:8" x14ac:dyDescent="0.25">
      <c r="A102" s="1">
        <v>101</v>
      </c>
      <c r="B102" s="1">
        <v>107</v>
      </c>
      <c r="C102" s="1" t="s">
        <v>222</v>
      </c>
      <c r="D102" s="1">
        <v>100.1</v>
      </c>
      <c r="E102" s="1" t="s">
        <v>221</v>
      </c>
      <c r="F102" s="1" t="str" cm="1">
        <f t="array" ref="F102:G102">_xlfn.TEXTSPLIT(E102,"/")</f>
        <v>120</v>
      </c>
      <c r="G102" s="1" t="str">
        <v>80</v>
      </c>
      <c r="H102" t="str">
        <f t="shared" si="1"/>
        <v>Low</v>
      </c>
    </row>
    <row r="103" spans="1:8" x14ac:dyDescent="0.25">
      <c r="A103" s="1">
        <v>102</v>
      </c>
      <c r="B103" s="1">
        <v>193</v>
      </c>
      <c r="C103" s="1" t="s">
        <v>217</v>
      </c>
      <c r="D103" s="1">
        <v>172.9</v>
      </c>
      <c r="E103" s="1" t="s">
        <v>224</v>
      </c>
      <c r="F103" s="1" t="str" cm="1">
        <f t="array" ref="F103:G103">_xlfn.TEXTSPLIT(E103,"-")</f>
        <v>20</v>
      </c>
      <c r="G103" s="1" t="str">
        <v>50</v>
      </c>
      <c r="H103" t="str">
        <f t="shared" si="1"/>
        <v>Low</v>
      </c>
    </row>
    <row r="104" spans="1:8" x14ac:dyDescent="0.25">
      <c r="A104" s="1">
        <v>103</v>
      </c>
      <c r="B104" s="1">
        <v>51</v>
      </c>
      <c r="C104" s="1" t="s">
        <v>215</v>
      </c>
      <c r="D104" s="1">
        <v>66.099999999999994</v>
      </c>
      <c r="E104" s="1" t="s">
        <v>226</v>
      </c>
      <c r="F104" s="1" t="str" cm="1">
        <f t="array" ref="F104:G104">_xlfn.TEXTSPLIT(E104,"-")</f>
        <v>70</v>
      </c>
      <c r="G104" s="1" t="str">
        <v>120</v>
      </c>
      <c r="H104" t="str">
        <f t="shared" si="1"/>
        <v>Low</v>
      </c>
    </row>
    <row r="105" spans="1:8" x14ac:dyDescent="0.25">
      <c r="A105" s="1">
        <v>104</v>
      </c>
      <c r="B105" s="1">
        <v>181</v>
      </c>
      <c r="C105" s="1" t="s">
        <v>217</v>
      </c>
      <c r="D105" s="1">
        <v>195.5</v>
      </c>
      <c r="E105" s="1" t="s">
        <v>226</v>
      </c>
      <c r="F105" s="1" t="str" cm="1">
        <f t="array" ref="F105:G105">_xlfn.TEXTSPLIT(E105,"-")</f>
        <v>70</v>
      </c>
      <c r="G105" s="1" t="str">
        <v>120</v>
      </c>
      <c r="H105" t="str">
        <f t="shared" si="1"/>
        <v>Low</v>
      </c>
    </row>
    <row r="106" spans="1:8" x14ac:dyDescent="0.25">
      <c r="A106" s="1">
        <v>105</v>
      </c>
      <c r="B106" s="1">
        <v>36</v>
      </c>
      <c r="C106" s="1" t="s">
        <v>220</v>
      </c>
      <c r="D106" s="1">
        <v>117.2</v>
      </c>
      <c r="E106" s="1" t="s">
        <v>221</v>
      </c>
      <c r="F106" s="1" t="str" cm="1">
        <f t="array" ref="F106:G106">_xlfn.TEXTSPLIT(E106,"/")</f>
        <v>120</v>
      </c>
      <c r="G106" s="1" t="str">
        <v>80</v>
      </c>
      <c r="H106" t="str">
        <f t="shared" si="1"/>
        <v>Low</v>
      </c>
    </row>
    <row r="107" spans="1:8" x14ac:dyDescent="0.25">
      <c r="A107" s="1">
        <v>106</v>
      </c>
      <c r="B107" s="1">
        <v>115</v>
      </c>
      <c r="C107" s="1" t="s">
        <v>217</v>
      </c>
      <c r="D107" s="1">
        <v>249.4</v>
      </c>
      <c r="E107" s="1" t="s">
        <v>219</v>
      </c>
      <c r="F107" s="1" t="str" cm="1">
        <f t="array" ref="F107:G107">_xlfn.TEXTSPLIT(E107,"-")</f>
        <v>0.6</v>
      </c>
      <c r="G107" s="1" t="str">
        <v>1.2</v>
      </c>
      <c r="H107" t="str">
        <f t="shared" si="1"/>
        <v>Low</v>
      </c>
    </row>
    <row r="108" spans="1:8" x14ac:dyDescent="0.25">
      <c r="A108" s="1">
        <v>107</v>
      </c>
      <c r="B108" s="1">
        <v>26</v>
      </c>
      <c r="C108" s="1" t="s">
        <v>220</v>
      </c>
      <c r="D108" s="1">
        <v>127.6</v>
      </c>
      <c r="E108" s="1" t="s">
        <v>218</v>
      </c>
      <c r="F108" s="1" t="str" cm="1">
        <f t="array" ref="F108:G108">_xlfn.TEXTSPLIT(E108,"-")</f>
        <v>13</v>
      </c>
      <c r="G108" s="1" t="str">
        <v>17</v>
      </c>
      <c r="H108" t="str">
        <f t="shared" si="1"/>
        <v>Low</v>
      </c>
    </row>
    <row r="109" spans="1:8" x14ac:dyDescent="0.25">
      <c r="A109" s="1">
        <v>108</v>
      </c>
      <c r="B109" s="1">
        <v>29</v>
      </c>
      <c r="C109" s="1" t="s">
        <v>220</v>
      </c>
      <c r="D109" s="1">
        <v>163.80000000000001</v>
      </c>
      <c r="E109" s="1" t="s">
        <v>216</v>
      </c>
      <c r="F109" s="1" t="str" cm="1">
        <f t="array" ref="F109:G109">_xlfn.TEXTSPLIT(E109,"-")</f>
        <v>150</v>
      </c>
      <c r="G109" s="1" t="str">
        <v>200</v>
      </c>
      <c r="H109" t="str">
        <f t="shared" si="1"/>
        <v>Low</v>
      </c>
    </row>
    <row r="110" spans="1:8" x14ac:dyDescent="0.25">
      <c r="A110" s="1">
        <v>109</v>
      </c>
      <c r="B110" s="1">
        <v>149</v>
      </c>
      <c r="C110" s="1" t="s">
        <v>217</v>
      </c>
      <c r="D110" s="1">
        <v>52.9</v>
      </c>
      <c r="E110" s="1" t="s">
        <v>218</v>
      </c>
      <c r="F110" s="1" t="str" cm="1">
        <f t="array" ref="F110:G110">_xlfn.TEXTSPLIT(E110,"-")</f>
        <v>13</v>
      </c>
      <c r="G110" s="1" t="str">
        <v>17</v>
      </c>
      <c r="H110" t="str">
        <f t="shared" si="1"/>
        <v>Low</v>
      </c>
    </row>
    <row r="111" spans="1:8" x14ac:dyDescent="0.25">
      <c r="A111" s="1">
        <v>110</v>
      </c>
      <c r="B111" s="1">
        <v>11</v>
      </c>
      <c r="C111" s="1" t="s">
        <v>215</v>
      </c>
      <c r="D111" s="1">
        <v>68.099999999999994</v>
      </c>
      <c r="E111" s="1" t="s">
        <v>224</v>
      </c>
      <c r="F111" s="1" t="str" cm="1">
        <f t="array" ref="F111:G111">_xlfn.TEXTSPLIT(E111,"-")</f>
        <v>20</v>
      </c>
      <c r="G111" s="1" t="str">
        <v>50</v>
      </c>
      <c r="H111" t="str">
        <f t="shared" si="1"/>
        <v>Low</v>
      </c>
    </row>
    <row r="112" spans="1:8" x14ac:dyDescent="0.25">
      <c r="A112" s="1">
        <v>111</v>
      </c>
      <c r="B112" s="1">
        <v>40</v>
      </c>
      <c r="C112" s="1" t="s">
        <v>222</v>
      </c>
      <c r="D112" s="1">
        <v>148.1</v>
      </c>
      <c r="E112" s="1" t="s">
        <v>216</v>
      </c>
      <c r="F112" s="1" t="str" cm="1">
        <f t="array" ref="F112:G112">_xlfn.TEXTSPLIT(E112,"-")</f>
        <v>150</v>
      </c>
      <c r="G112" s="1" t="str">
        <v>200</v>
      </c>
      <c r="H112" t="str">
        <f t="shared" si="1"/>
        <v>Low</v>
      </c>
    </row>
    <row r="113" spans="1:8" x14ac:dyDescent="0.25">
      <c r="A113" s="1">
        <v>112</v>
      </c>
      <c r="B113" s="1">
        <v>11</v>
      </c>
      <c r="C113" s="1" t="s">
        <v>225</v>
      </c>
      <c r="D113" s="1">
        <v>170</v>
      </c>
      <c r="E113" s="1" t="s">
        <v>221</v>
      </c>
      <c r="F113" s="1" t="str" cm="1">
        <f t="array" ref="F113:G113">_xlfn.TEXTSPLIT(E113,"/")</f>
        <v>120</v>
      </c>
      <c r="G113" s="1" t="str">
        <v>80</v>
      </c>
      <c r="H113" t="str">
        <f t="shared" si="1"/>
        <v>Low</v>
      </c>
    </row>
    <row r="114" spans="1:8" x14ac:dyDescent="0.25">
      <c r="A114" s="1">
        <v>113</v>
      </c>
      <c r="B114" s="1">
        <v>164</v>
      </c>
      <c r="C114" s="1" t="s">
        <v>225</v>
      </c>
      <c r="D114" s="1">
        <v>200</v>
      </c>
      <c r="E114" s="1" t="s">
        <v>221</v>
      </c>
      <c r="F114" s="1" t="str" cm="1">
        <f t="array" ref="F114:G114">_xlfn.TEXTSPLIT(E114,"/")</f>
        <v>120</v>
      </c>
      <c r="G114" s="1" t="str">
        <v>80</v>
      </c>
      <c r="H114" t="str">
        <f t="shared" si="1"/>
        <v>Low</v>
      </c>
    </row>
    <row r="115" spans="1:8" x14ac:dyDescent="0.25">
      <c r="A115" s="1">
        <v>114</v>
      </c>
      <c r="B115" s="1">
        <v>113</v>
      </c>
      <c r="C115" s="1" t="s">
        <v>222</v>
      </c>
      <c r="D115" s="1">
        <v>122.9</v>
      </c>
      <c r="E115" s="1" t="s">
        <v>219</v>
      </c>
      <c r="F115" s="1" t="str" cm="1">
        <f t="array" ref="F115:G115">_xlfn.TEXTSPLIT(E115,"-")</f>
        <v>0.6</v>
      </c>
      <c r="G115" s="1" t="str">
        <v>1.2</v>
      </c>
      <c r="H115" t="str">
        <f t="shared" si="1"/>
        <v>Low</v>
      </c>
    </row>
    <row r="116" spans="1:8" x14ac:dyDescent="0.25">
      <c r="A116" s="1">
        <v>115</v>
      </c>
      <c r="B116" s="1">
        <v>187</v>
      </c>
      <c r="C116" s="1" t="s">
        <v>220</v>
      </c>
      <c r="D116" s="1">
        <v>223.7</v>
      </c>
      <c r="E116" s="1" t="s">
        <v>216</v>
      </c>
      <c r="F116" s="1" t="str" cm="1">
        <f t="array" ref="F116:G116">_xlfn.TEXTSPLIT(E116,"-")</f>
        <v>150</v>
      </c>
      <c r="G116" s="1" t="str">
        <v>200</v>
      </c>
      <c r="H116" t="str">
        <f t="shared" si="1"/>
        <v>Low</v>
      </c>
    </row>
    <row r="117" spans="1:8" x14ac:dyDescent="0.25">
      <c r="A117" s="1">
        <v>116</v>
      </c>
      <c r="B117" s="1">
        <v>39</v>
      </c>
      <c r="C117" s="1" t="s">
        <v>220</v>
      </c>
      <c r="D117" s="1">
        <v>265</v>
      </c>
      <c r="E117" s="1" t="s">
        <v>226</v>
      </c>
      <c r="F117" s="1" t="str" cm="1">
        <f t="array" ref="F117:G117">_xlfn.TEXTSPLIT(E117,"-")</f>
        <v>70</v>
      </c>
      <c r="G117" s="1" t="str">
        <v>120</v>
      </c>
      <c r="H117" t="str">
        <f t="shared" si="1"/>
        <v>Low</v>
      </c>
    </row>
    <row r="118" spans="1:8" x14ac:dyDescent="0.25">
      <c r="A118" s="1">
        <v>117</v>
      </c>
      <c r="B118" s="1">
        <v>54</v>
      </c>
      <c r="C118" s="1" t="s">
        <v>215</v>
      </c>
      <c r="D118" s="1">
        <v>245</v>
      </c>
      <c r="E118" s="1" t="s">
        <v>216</v>
      </c>
      <c r="F118" s="1" t="str" cm="1">
        <f t="array" ref="F118:G118">_xlfn.TEXTSPLIT(E118,"-")</f>
        <v>150</v>
      </c>
      <c r="G118" s="1" t="str">
        <v>200</v>
      </c>
      <c r="H118" t="str">
        <f t="shared" si="1"/>
        <v>Low</v>
      </c>
    </row>
    <row r="119" spans="1:8" x14ac:dyDescent="0.25">
      <c r="A119" s="1">
        <v>118</v>
      </c>
      <c r="B119" s="1">
        <v>98</v>
      </c>
      <c r="C119" s="1" t="s">
        <v>223</v>
      </c>
      <c r="D119" s="1">
        <v>59.9</v>
      </c>
      <c r="E119" s="1" t="s">
        <v>224</v>
      </c>
      <c r="F119" s="1" t="str" cm="1">
        <f t="array" ref="F119:G119">_xlfn.TEXTSPLIT(E119,"-")</f>
        <v>20</v>
      </c>
      <c r="G119" s="1" t="str">
        <v>50</v>
      </c>
      <c r="H119" t="str">
        <f t="shared" si="1"/>
        <v>Low</v>
      </c>
    </row>
    <row r="120" spans="1:8" x14ac:dyDescent="0.25">
      <c r="A120" s="1">
        <v>119</v>
      </c>
      <c r="B120" s="1">
        <v>55</v>
      </c>
      <c r="C120" s="1" t="s">
        <v>217</v>
      </c>
      <c r="D120" s="1">
        <v>170.1</v>
      </c>
      <c r="E120" s="1" t="s">
        <v>226</v>
      </c>
      <c r="F120" s="1" t="str" cm="1">
        <f t="array" ref="F120:G120">_xlfn.TEXTSPLIT(E120,"-")</f>
        <v>70</v>
      </c>
      <c r="G120" s="1" t="str">
        <v>120</v>
      </c>
      <c r="H120" t="str">
        <f t="shared" si="1"/>
        <v>Low</v>
      </c>
    </row>
    <row r="121" spans="1:8" x14ac:dyDescent="0.25">
      <c r="A121" s="1">
        <v>120</v>
      </c>
      <c r="B121" s="1">
        <v>111</v>
      </c>
      <c r="C121" s="1" t="s">
        <v>220</v>
      </c>
      <c r="D121" s="1">
        <v>76.2</v>
      </c>
      <c r="E121" s="1" t="s">
        <v>221</v>
      </c>
      <c r="F121" s="1" t="str" cm="1">
        <f t="array" ref="F121:G121">_xlfn.TEXTSPLIT(E121,"/")</f>
        <v>120</v>
      </c>
      <c r="G121" s="1" t="str">
        <v>80</v>
      </c>
      <c r="H121" t="str">
        <f t="shared" si="1"/>
        <v>Low</v>
      </c>
    </row>
    <row r="122" spans="1:8" x14ac:dyDescent="0.25">
      <c r="A122" s="1">
        <v>121</v>
      </c>
      <c r="B122" s="1">
        <v>152</v>
      </c>
      <c r="C122" s="1" t="s">
        <v>225</v>
      </c>
      <c r="D122" s="1">
        <v>110.5</v>
      </c>
      <c r="E122" s="1" t="s">
        <v>216</v>
      </c>
      <c r="F122" s="1" t="str" cm="1">
        <f t="array" ref="F122:G122">_xlfn.TEXTSPLIT(E122,"-")</f>
        <v>150</v>
      </c>
      <c r="G122" s="1" t="str">
        <v>200</v>
      </c>
      <c r="H122" t="str">
        <f t="shared" si="1"/>
        <v>Low</v>
      </c>
    </row>
    <row r="123" spans="1:8" x14ac:dyDescent="0.25">
      <c r="A123" s="1">
        <v>122</v>
      </c>
      <c r="B123" s="1">
        <v>150</v>
      </c>
      <c r="C123" s="1" t="s">
        <v>215</v>
      </c>
      <c r="D123" s="1">
        <v>296.7</v>
      </c>
      <c r="E123" s="1" t="s">
        <v>218</v>
      </c>
      <c r="F123" s="1" t="str" cm="1">
        <f t="array" ref="F123:G123">_xlfn.TEXTSPLIT(E123,"-")</f>
        <v>13</v>
      </c>
      <c r="G123" s="1" t="str">
        <v>17</v>
      </c>
      <c r="H123" t="str">
        <f t="shared" si="1"/>
        <v>Low</v>
      </c>
    </row>
    <row r="124" spans="1:8" x14ac:dyDescent="0.25">
      <c r="A124" s="1">
        <v>123</v>
      </c>
      <c r="B124" s="1">
        <v>69</v>
      </c>
      <c r="C124" s="1" t="s">
        <v>217</v>
      </c>
      <c r="D124" s="1">
        <v>85.6</v>
      </c>
      <c r="E124" s="1" t="s">
        <v>219</v>
      </c>
      <c r="F124" s="1" t="str" cm="1">
        <f t="array" ref="F124:G124">_xlfn.TEXTSPLIT(E124,"-")</f>
        <v>0.6</v>
      </c>
      <c r="G124" s="1" t="str">
        <v>1.2</v>
      </c>
      <c r="H124" t="str">
        <f t="shared" si="1"/>
        <v>Low</v>
      </c>
    </row>
    <row r="125" spans="1:8" x14ac:dyDescent="0.25">
      <c r="A125" s="1">
        <v>124</v>
      </c>
      <c r="B125" s="1">
        <v>56</v>
      </c>
      <c r="C125" s="1" t="s">
        <v>215</v>
      </c>
      <c r="D125" s="1">
        <v>174.7</v>
      </c>
      <c r="E125" s="1" t="s">
        <v>218</v>
      </c>
      <c r="F125" s="1" t="str" cm="1">
        <f t="array" ref="F125:G125">_xlfn.TEXTSPLIT(E125,"-")</f>
        <v>13</v>
      </c>
      <c r="G125" s="1" t="str">
        <v>17</v>
      </c>
      <c r="H125" t="str">
        <f t="shared" si="1"/>
        <v>Low</v>
      </c>
    </row>
    <row r="126" spans="1:8" x14ac:dyDescent="0.25">
      <c r="A126" s="1">
        <v>125</v>
      </c>
      <c r="B126" s="1">
        <v>33</v>
      </c>
      <c r="C126" s="1" t="s">
        <v>217</v>
      </c>
      <c r="D126" s="1">
        <v>204.5</v>
      </c>
      <c r="E126" s="1" t="s">
        <v>219</v>
      </c>
      <c r="F126" s="1" t="str" cm="1">
        <f t="array" ref="F126:G126">_xlfn.TEXTSPLIT(E126,"-")</f>
        <v>0.6</v>
      </c>
      <c r="G126" s="1" t="str">
        <v>1.2</v>
      </c>
      <c r="H126" t="str">
        <f t="shared" si="1"/>
        <v>Low</v>
      </c>
    </row>
    <row r="127" spans="1:8" x14ac:dyDescent="0.25">
      <c r="A127" s="1">
        <v>126</v>
      </c>
      <c r="B127" s="1">
        <v>36</v>
      </c>
      <c r="C127" s="1" t="s">
        <v>217</v>
      </c>
      <c r="D127" s="1">
        <v>225.6</v>
      </c>
      <c r="E127" s="1" t="s">
        <v>224</v>
      </c>
      <c r="F127" s="1" t="str" cm="1">
        <f t="array" ref="F127:G127">_xlfn.TEXTSPLIT(E127,"-")</f>
        <v>20</v>
      </c>
      <c r="G127" s="1" t="str">
        <v>50</v>
      </c>
      <c r="H127" t="str">
        <f t="shared" si="1"/>
        <v>Low</v>
      </c>
    </row>
    <row r="128" spans="1:8" x14ac:dyDescent="0.25">
      <c r="A128" s="1">
        <v>127</v>
      </c>
      <c r="B128" s="1">
        <v>148</v>
      </c>
      <c r="C128" s="1" t="s">
        <v>222</v>
      </c>
      <c r="D128" s="1">
        <v>189.9</v>
      </c>
      <c r="E128" s="1" t="s">
        <v>218</v>
      </c>
      <c r="F128" s="1" t="str" cm="1">
        <f t="array" ref="F128:G128">_xlfn.TEXTSPLIT(E128,"-")</f>
        <v>13</v>
      </c>
      <c r="G128" s="1" t="str">
        <v>17</v>
      </c>
      <c r="H128" t="str">
        <f t="shared" si="1"/>
        <v>Low</v>
      </c>
    </row>
    <row r="129" spans="1:8" x14ac:dyDescent="0.25">
      <c r="A129" s="1">
        <v>128</v>
      </c>
      <c r="B129" s="1">
        <v>81</v>
      </c>
      <c r="C129" s="1" t="s">
        <v>220</v>
      </c>
      <c r="D129" s="1">
        <v>52.4</v>
      </c>
      <c r="E129" s="1" t="s">
        <v>216</v>
      </c>
      <c r="F129" s="1" t="str" cm="1">
        <f t="array" ref="F129:G129">_xlfn.TEXTSPLIT(E129,"-")</f>
        <v>150</v>
      </c>
      <c r="G129" s="1" t="str">
        <v>200</v>
      </c>
      <c r="H129" t="str">
        <f t="shared" si="1"/>
        <v>Low</v>
      </c>
    </row>
    <row r="130" spans="1:8" x14ac:dyDescent="0.25">
      <c r="A130" s="1">
        <v>129</v>
      </c>
      <c r="B130" s="1">
        <v>190</v>
      </c>
      <c r="C130" s="1" t="s">
        <v>215</v>
      </c>
      <c r="D130" s="1">
        <v>131.6</v>
      </c>
      <c r="E130" s="1" t="s">
        <v>216</v>
      </c>
      <c r="F130" s="1" t="str" cm="1">
        <f t="array" ref="F130:G130">_xlfn.TEXTSPLIT(E130,"-")</f>
        <v>150</v>
      </c>
      <c r="G130" s="1" t="str">
        <v>200</v>
      </c>
      <c r="H130" t="str">
        <f t="shared" si="1"/>
        <v>Low</v>
      </c>
    </row>
    <row r="131" spans="1:8" x14ac:dyDescent="0.25">
      <c r="A131" s="1">
        <v>130</v>
      </c>
      <c r="B131" s="1">
        <v>109</v>
      </c>
      <c r="C131" s="1" t="s">
        <v>215</v>
      </c>
      <c r="D131" s="1">
        <v>179.4</v>
      </c>
      <c r="E131" s="1" t="s">
        <v>218</v>
      </c>
      <c r="F131" s="1" t="str" cm="1">
        <f t="array" ref="F131:G131">_xlfn.TEXTSPLIT(E131,"-")</f>
        <v>13</v>
      </c>
      <c r="G131" s="1" t="str">
        <v>17</v>
      </c>
      <c r="H131" t="str">
        <f t="shared" ref="H131:H194" si="2">IF(D131 &lt; F131, "Low", IF(D131 &gt; G131, "High", "Normal"))</f>
        <v>Low</v>
      </c>
    </row>
    <row r="132" spans="1:8" x14ac:dyDescent="0.25">
      <c r="A132" s="1">
        <v>131</v>
      </c>
      <c r="B132" s="1">
        <v>154</v>
      </c>
      <c r="C132" s="1" t="s">
        <v>222</v>
      </c>
      <c r="D132" s="1">
        <v>72</v>
      </c>
      <c r="E132" s="1" t="s">
        <v>216</v>
      </c>
      <c r="F132" s="1" t="str" cm="1">
        <f t="array" ref="F132:G132">_xlfn.TEXTSPLIT(E132,"-")</f>
        <v>150</v>
      </c>
      <c r="G132" s="1" t="str">
        <v>200</v>
      </c>
      <c r="H132" t="str">
        <f t="shared" si="2"/>
        <v>Low</v>
      </c>
    </row>
    <row r="133" spans="1:8" x14ac:dyDescent="0.25">
      <c r="A133" s="1">
        <v>132</v>
      </c>
      <c r="B133" s="1">
        <v>194</v>
      </c>
      <c r="C133" s="1" t="s">
        <v>225</v>
      </c>
      <c r="D133" s="1">
        <v>137.69999999999999</v>
      </c>
      <c r="E133" s="1" t="s">
        <v>224</v>
      </c>
      <c r="F133" s="1" t="str" cm="1">
        <f t="array" ref="F133:G133">_xlfn.TEXTSPLIT(E133,"-")</f>
        <v>20</v>
      </c>
      <c r="G133" s="1" t="str">
        <v>50</v>
      </c>
      <c r="H133" t="str">
        <f t="shared" si="2"/>
        <v>Low</v>
      </c>
    </row>
    <row r="134" spans="1:8" x14ac:dyDescent="0.25">
      <c r="A134" s="1">
        <v>133</v>
      </c>
      <c r="B134" s="1">
        <v>73</v>
      </c>
      <c r="C134" s="1" t="s">
        <v>225</v>
      </c>
      <c r="D134" s="1">
        <v>58.3</v>
      </c>
      <c r="E134" s="1" t="s">
        <v>226</v>
      </c>
      <c r="F134" s="1" t="str" cm="1">
        <f t="array" ref="F134:G134">_xlfn.TEXTSPLIT(E134,"-")</f>
        <v>70</v>
      </c>
      <c r="G134" s="1" t="str">
        <v>120</v>
      </c>
      <c r="H134" t="str">
        <f t="shared" si="2"/>
        <v>Low</v>
      </c>
    </row>
    <row r="135" spans="1:8" x14ac:dyDescent="0.25">
      <c r="A135" s="1">
        <v>134</v>
      </c>
      <c r="B135" s="1">
        <v>40</v>
      </c>
      <c r="C135" s="1" t="s">
        <v>220</v>
      </c>
      <c r="D135" s="1">
        <v>69.599999999999994</v>
      </c>
      <c r="E135" s="1" t="s">
        <v>224</v>
      </c>
      <c r="F135" s="1" t="str" cm="1">
        <f t="array" ref="F135:G135">_xlfn.TEXTSPLIT(E135,"-")</f>
        <v>20</v>
      </c>
      <c r="G135" s="1" t="str">
        <v>50</v>
      </c>
      <c r="H135" t="str">
        <f t="shared" si="2"/>
        <v>Low</v>
      </c>
    </row>
    <row r="136" spans="1:8" x14ac:dyDescent="0.25">
      <c r="A136" s="1">
        <v>135</v>
      </c>
      <c r="B136" s="1">
        <v>17</v>
      </c>
      <c r="C136" s="1" t="s">
        <v>220</v>
      </c>
      <c r="D136" s="1">
        <v>149.19999999999999</v>
      </c>
      <c r="E136" s="1" t="s">
        <v>219</v>
      </c>
      <c r="F136" s="1" t="str" cm="1">
        <f t="array" ref="F136:G136">_xlfn.TEXTSPLIT(E136,"-")</f>
        <v>0.6</v>
      </c>
      <c r="G136" s="1" t="str">
        <v>1.2</v>
      </c>
      <c r="H136" t="str">
        <f t="shared" si="2"/>
        <v>Low</v>
      </c>
    </row>
    <row r="137" spans="1:8" x14ac:dyDescent="0.25">
      <c r="A137" s="1">
        <v>136</v>
      </c>
      <c r="B137" s="1">
        <v>129</v>
      </c>
      <c r="C137" s="1" t="s">
        <v>223</v>
      </c>
      <c r="D137" s="1">
        <v>83.2</v>
      </c>
      <c r="E137" s="1" t="s">
        <v>224</v>
      </c>
      <c r="F137" s="1" t="str" cm="1">
        <f t="array" ref="F137:G137">_xlfn.TEXTSPLIT(E137,"-")</f>
        <v>20</v>
      </c>
      <c r="G137" s="1" t="str">
        <v>50</v>
      </c>
      <c r="H137" t="str">
        <f t="shared" si="2"/>
        <v>Low</v>
      </c>
    </row>
    <row r="138" spans="1:8" x14ac:dyDescent="0.25">
      <c r="A138" s="1">
        <v>137</v>
      </c>
      <c r="B138" s="1">
        <v>61</v>
      </c>
      <c r="C138" s="1" t="s">
        <v>222</v>
      </c>
      <c r="D138" s="1">
        <v>191.9</v>
      </c>
      <c r="E138" s="1" t="s">
        <v>219</v>
      </c>
      <c r="F138" s="1" t="str" cm="1">
        <f t="array" ref="F138:G138">_xlfn.TEXTSPLIT(E138,"-")</f>
        <v>0.6</v>
      </c>
      <c r="G138" s="1" t="str">
        <v>1.2</v>
      </c>
      <c r="H138" t="str">
        <f t="shared" si="2"/>
        <v>Low</v>
      </c>
    </row>
    <row r="139" spans="1:8" x14ac:dyDescent="0.25">
      <c r="A139" s="1">
        <v>138</v>
      </c>
      <c r="B139" s="1">
        <v>171</v>
      </c>
      <c r="C139" s="1" t="s">
        <v>225</v>
      </c>
      <c r="D139" s="1">
        <v>222.4</v>
      </c>
      <c r="E139" s="1" t="s">
        <v>216</v>
      </c>
      <c r="F139" s="1" t="str" cm="1">
        <f t="array" ref="F139:G139">_xlfn.TEXTSPLIT(E139,"-")</f>
        <v>150</v>
      </c>
      <c r="G139" s="1" t="str">
        <v>200</v>
      </c>
      <c r="H139" t="str">
        <f t="shared" si="2"/>
        <v>Low</v>
      </c>
    </row>
    <row r="140" spans="1:8" x14ac:dyDescent="0.25">
      <c r="A140" s="1">
        <v>139</v>
      </c>
      <c r="B140" s="1">
        <v>104</v>
      </c>
      <c r="C140" s="1" t="s">
        <v>217</v>
      </c>
      <c r="D140" s="1">
        <v>250.1</v>
      </c>
      <c r="E140" s="1" t="s">
        <v>226</v>
      </c>
      <c r="F140" s="1" t="str" cm="1">
        <f t="array" ref="F140:G140">_xlfn.TEXTSPLIT(E140,"-")</f>
        <v>70</v>
      </c>
      <c r="G140" s="1" t="str">
        <v>120</v>
      </c>
      <c r="H140" t="str">
        <f t="shared" si="2"/>
        <v>Low</v>
      </c>
    </row>
    <row r="141" spans="1:8" x14ac:dyDescent="0.25">
      <c r="A141" s="1">
        <v>140</v>
      </c>
      <c r="B141" s="1">
        <v>42</v>
      </c>
      <c r="C141" s="1" t="s">
        <v>215</v>
      </c>
      <c r="D141" s="1">
        <v>100</v>
      </c>
      <c r="E141" s="1" t="s">
        <v>216</v>
      </c>
      <c r="F141" s="1" t="str" cm="1">
        <f t="array" ref="F141:G141">_xlfn.TEXTSPLIT(E141,"-")</f>
        <v>150</v>
      </c>
      <c r="G141" s="1" t="str">
        <v>200</v>
      </c>
      <c r="H141" t="str">
        <f t="shared" si="2"/>
        <v>Low</v>
      </c>
    </row>
    <row r="142" spans="1:8" x14ac:dyDescent="0.25">
      <c r="A142" s="1">
        <v>141</v>
      </c>
      <c r="B142" s="1">
        <v>25</v>
      </c>
      <c r="C142" s="1" t="s">
        <v>220</v>
      </c>
      <c r="D142" s="1">
        <v>91.9</v>
      </c>
      <c r="E142" s="1" t="s">
        <v>221</v>
      </c>
      <c r="F142" s="1" t="str" cm="1">
        <f t="array" ref="F142:G142">_xlfn.TEXTSPLIT(E142,"/")</f>
        <v>120</v>
      </c>
      <c r="G142" s="1" t="str">
        <v>80</v>
      </c>
      <c r="H142" t="str">
        <f t="shared" si="2"/>
        <v>Low</v>
      </c>
    </row>
    <row r="143" spans="1:8" x14ac:dyDescent="0.25">
      <c r="A143" s="1">
        <v>142</v>
      </c>
      <c r="B143" s="1">
        <v>39</v>
      </c>
      <c r="C143" s="1" t="s">
        <v>215</v>
      </c>
      <c r="D143" s="1">
        <v>76.099999999999994</v>
      </c>
      <c r="E143" s="1" t="s">
        <v>216</v>
      </c>
      <c r="F143" s="1" t="str" cm="1">
        <f t="array" ref="F143:G143">_xlfn.TEXTSPLIT(E143,"-")</f>
        <v>150</v>
      </c>
      <c r="G143" s="1" t="str">
        <v>200</v>
      </c>
      <c r="H143" t="str">
        <f t="shared" si="2"/>
        <v>Low</v>
      </c>
    </row>
    <row r="144" spans="1:8" x14ac:dyDescent="0.25">
      <c r="A144" s="1">
        <v>143</v>
      </c>
      <c r="B144" s="1">
        <v>35</v>
      </c>
      <c r="C144" s="1" t="s">
        <v>215</v>
      </c>
      <c r="D144" s="1">
        <v>209.1</v>
      </c>
      <c r="E144" s="1" t="s">
        <v>219</v>
      </c>
      <c r="F144" s="1" t="str" cm="1">
        <f t="array" ref="F144:G144">_xlfn.TEXTSPLIT(E144,"-")</f>
        <v>0.6</v>
      </c>
      <c r="G144" s="1" t="str">
        <v>1.2</v>
      </c>
      <c r="H144" t="str">
        <f t="shared" si="2"/>
        <v>Low</v>
      </c>
    </row>
    <row r="145" spans="1:8" x14ac:dyDescent="0.25">
      <c r="A145" s="1">
        <v>144</v>
      </c>
      <c r="B145" s="1">
        <v>131</v>
      </c>
      <c r="C145" s="1" t="s">
        <v>223</v>
      </c>
      <c r="D145" s="1">
        <v>226.6</v>
      </c>
      <c r="E145" s="1" t="s">
        <v>216</v>
      </c>
      <c r="F145" s="1" t="str" cm="1">
        <f t="array" ref="F145:G145">_xlfn.TEXTSPLIT(E145,"-")</f>
        <v>150</v>
      </c>
      <c r="G145" s="1" t="str">
        <v>200</v>
      </c>
      <c r="H145" t="str">
        <f t="shared" si="2"/>
        <v>Low</v>
      </c>
    </row>
    <row r="146" spans="1:8" x14ac:dyDescent="0.25">
      <c r="A146" s="1">
        <v>145</v>
      </c>
      <c r="B146" s="1">
        <v>108</v>
      </c>
      <c r="C146" s="1" t="s">
        <v>225</v>
      </c>
      <c r="D146" s="1">
        <v>57.9</v>
      </c>
      <c r="E146" s="1" t="s">
        <v>216</v>
      </c>
      <c r="F146" s="1" t="str" cm="1">
        <f t="array" ref="F146:G146">_xlfn.TEXTSPLIT(E146,"-")</f>
        <v>150</v>
      </c>
      <c r="G146" s="1" t="str">
        <v>200</v>
      </c>
      <c r="H146" t="str">
        <f t="shared" si="2"/>
        <v>Low</v>
      </c>
    </row>
    <row r="147" spans="1:8" x14ac:dyDescent="0.25">
      <c r="A147" s="1">
        <v>146</v>
      </c>
      <c r="B147" s="1">
        <v>172</v>
      </c>
      <c r="C147" s="1" t="s">
        <v>220</v>
      </c>
      <c r="D147" s="1">
        <v>284.10000000000002</v>
      </c>
      <c r="E147" s="1" t="s">
        <v>226</v>
      </c>
      <c r="F147" s="1" t="str" cm="1">
        <f t="array" ref="F147:G147">_xlfn.TEXTSPLIT(E147,"-")</f>
        <v>70</v>
      </c>
      <c r="G147" s="1" t="str">
        <v>120</v>
      </c>
      <c r="H147" t="str">
        <f t="shared" si="2"/>
        <v>Low</v>
      </c>
    </row>
    <row r="148" spans="1:8" x14ac:dyDescent="0.25">
      <c r="A148" s="1">
        <v>147</v>
      </c>
      <c r="B148" s="1">
        <v>179</v>
      </c>
      <c r="C148" s="1" t="s">
        <v>215</v>
      </c>
      <c r="D148" s="1">
        <v>63</v>
      </c>
      <c r="E148" s="1" t="s">
        <v>216</v>
      </c>
      <c r="F148" s="1" t="str" cm="1">
        <f t="array" ref="F148:G148">_xlfn.TEXTSPLIT(E148,"-")</f>
        <v>150</v>
      </c>
      <c r="G148" s="1" t="str">
        <v>200</v>
      </c>
      <c r="H148" t="str">
        <f t="shared" si="2"/>
        <v>Low</v>
      </c>
    </row>
    <row r="149" spans="1:8" x14ac:dyDescent="0.25">
      <c r="A149" s="1">
        <v>148</v>
      </c>
      <c r="B149" s="1">
        <v>102</v>
      </c>
      <c r="C149" s="1" t="s">
        <v>220</v>
      </c>
      <c r="D149" s="1">
        <v>185.3</v>
      </c>
      <c r="E149" s="1" t="s">
        <v>226</v>
      </c>
      <c r="F149" s="1" t="str" cm="1">
        <f t="array" ref="F149:G149">_xlfn.TEXTSPLIT(E149,"-")</f>
        <v>70</v>
      </c>
      <c r="G149" s="1" t="str">
        <v>120</v>
      </c>
      <c r="H149" t="str">
        <f t="shared" si="2"/>
        <v>Low</v>
      </c>
    </row>
    <row r="150" spans="1:8" x14ac:dyDescent="0.25">
      <c r="A150" s="1">
        <v>149</v>
      </c>
      <c r="B150" s="1">
        <v>98</v>
      </c>
      <c r="C150" s="1" t="s">
        <v>217</v>
      </c>
      <c r="D150" s="1">
        <v>227.3</v>
      </c>
      <c r="E150" s="1" t="s">
        <v>218</v>
      </c>
      <c r="F150" s="1" t="str" cm="1">
        <f t="array" ref="F150:G150">_xlfn.TEXTSPLIT(E150,"-")</f>
        <v>13</v>
      </c>
      <c r="G150" s="1" t="str">
        <v>17</v>
      </c>
      <c r="H150" t="str">
        <f t="shared" si="2"/>
        <v>Low</v>
      </c>
    </row>
    <row r="151" spans="1:8" x14ac:dyDescent="0.25">
      <c r="A151" s="1">
        <v>150</v>
      </c>
      <c r="B151" s="1">
        <v>12</v>
      </c>
      <c r="C151" s="1" t="s">
        <v>223</v>
      </c>
      <c r="D151" s="1">
        <v>267.7</v>
      </c>
      <c r="E151" s="1" t="s">
        <v>221</v>
      </c>
      <c r="F151" s="1" t="str" cm="1">
        <f t="array" ref="F151:G151">_xlfn.TEXTSPLIT(E151,"/")</f>
        <v>120</v>
      </c>
      <c r="G151" s="1" t="str">
        <v>80</v>
      </c>
      <c r="H151" t="str">
        <f t="shared" si="2"/>
        <v>Low</v>
      </c>
    </row>
    <row r="152" spans="1:8" x14ac:dyDescent="0.25">
      <c r="A152" s="1">
        <v>151</v>
      </c>
      <c r="B152" s="1">
        <v>19</v>
      </c>
      <c r="C152" s="1" t="s">
        <v>217</v>
      </c>
      <c r="D152" s="1">
        <v>228.5</v>
      </c>
      <c r="E152" s="1" t="s">
        <v>226</v>
      </c>
      <c r="F152" s="1" t="str" cm="1">
        <f t="array" ref="F152:G152">_xlfn.TEXTSPLIT(E152,"-")</f>
        <v>70</v>
      </c>
      <c r="G152" s="1" t="str">
        <v>120</v>
      </c>
      <c r="H152" t="str">
        <f t="shared" si="2"/>
        <v>Low</v>
      </c>
    </row>
    <row r="153" spans="1:8" x14ac:dyDescent="0.25">
      <c r="A153" s="1">
        <v>152</v>
      </c>
      <c r="B153" s="1">
        <v>101</v>
      </c>
      <c r="C153" s="1" t="s">
        <v>220</v>
      </c>
      <c r="D153" s="1">
        <v>250.4</v>
      </c>
      <c r="E153" s="1" t="s">
        <v>219</v>
      </c>
      <c r="F153" s="1" t="str" cm="1">
        <f t="array" ref="F153:G153">_xlfn.TEXTSPLIT(E153,"-")</f>
        <v>0.6</v>
      </c>
      <c r="G153" s="1" t="str">
        <v>1.2</v>
      </c>
      <c r="H153" t="str">
        <f t="shared" si="2"/>
        <v>Low</v>
      </c>
    </row>
    <row r="154" spans="1:8" x14ac:dyDescent="0.25">
      <c r="A154" s="1">
        <v>153</v>
      </c>
      <c r="B154" s="1">
        <v>44</v>
      </c>
      <c r="C154" s="1" t="s">
        <v>220</v>
      </c>
      <c r="D154" s="1">
        <v>134.9</v>
      </c>
      <c r="E154" s="1" t="s">
        <v>218</v>
      </c>
      <c r="F154" s="1" t="str" cm="1">
        <f t="array" ref="F154:G154">_xlfn.TEXTSPLIT(E154,"-")</f>
        <v>13</v>
      </c>
      <c r="G154" s="1" t="str">
        <v>17</v>
      </c>
      <c r="H154" t="str">
        <f t="shared" si="2"/>
        <v>Low</v>
      </c>
    </row>
    <row r="155" spans="1:8" x14ac:dyDescent="0.25">
      <c r="A155" s="1">
        <v>154</v>
      </c>
      <c r="B155" s="1">
        <v>187</v>
      </c>
      <c r="C155" s="1" t="s">
        <v>225</v>
      </c>
      <c r="D155" s="1">
        <v>253.7</v>
      </c>
      <c r="E155" s="1" t="s">
        <v>226</v>
      </c>
      <c r="F155" s="1" t="str" cm="1">
        <f t="array" ref="F155:G155">_xlfn.TEXTSPLIT(E155,"-")</f>
        <v>70</v>
      </c>
      <c r="G155" s="1" t="str">
        <v>120</v>
      </c>
      <c r="H155" t="str">
        <f t="shared" si="2"/>
        <v>Low</v>
      </c>
    </row>
    <row r="156" spans="1:8" x14ac:dyDescent="0.25">
      <c r="A156" s="1">
        <v>155</v>
      </c>
      <c r="B156" s="1">
        <v>49</v>
      </c>
      <c r="C156" s="1" t="s">
        <v>215</v>
      </c>
      <c r="D156" s="1">
        <v>70</v>
      </c>
      <c r="E156" s="1" t="s">
        <v>226</v>
      </c>
      <c r="F156" s="1" t="str" cm="1">
        <f t="array" ref="F156:G156">_xlfn.TEXTSPLIT(E156,"-")</f>
        <v>70</v>
      </c>
      <c r="G156" s="1" t="str">
        <v>120</v>
      </c>
      <c r="H156" t="str">
        <f t="shared" si="2"/>
        <v>Low</v>
      </c>
    </row>
    <row r="157" spans="1:8" x14ac:dyDescent="0.25">
      <c r="A157" s="1">
        <v>156</v>
      </c>
      <c r="B157" s="1">
        <v>189</v>
      </c>
      <c r="C157" s="1" t="s">
        <v>215</v>
      </c>
      <c r="D157" s="1">
        <v>273.7</v>
      </c>
      <c r="E157" s="1" t="s">
        <v>221</v>
      </c>
      <c r="F157" s="1" t="str" cm="1">
        <f t="array" ref="F157:G157">_xlfn.TEXTSPLIT(E157,"/")</f>
        <v>120</v>
      </c>
      <c r="G157" s="1" t="str">
        <v>80</v>
      </c>
      <c r="H157" t="str">
        <f t="shared" si="2"/>
        <v>Low</v>
      </c>
    </row>
    <row r="158" spans="1:8" x14ac:dyDescent="0.25">
      <c r="A158" s="1">
        <v>157</v>
      </c>
      <c r="B158" s="1">
        <v>17</v>
      </c>
      <c r="C158" s="1" t="s">
        <v>217</v>
      </c>
      <c r="D158" s="1">
        <v>186.9</v>
      </c>
      <c r="E158" s="1" t="s">
        <v>219</v>
      </c>
      <c r="F158" s="1" t="str" cm="1">
        <f t="array" ref="F158:G158">_xlfn.TEXTSPLIT(E158,"-")</f>
        <v>0.6</v>
      </c>
      <c r="G158" s="1" t="str">
        <v>1.2</v>
      </c>
      <c r="H158" t="str">
        <f t="shared" si="2"/>
        <v>Low</v>
      </c>
    </row>
    <row r="159" spans="1:8" x14ac:dyDescent="0.25">
      <c r="A159" s="1">
        <v>158</v>
      </c>
      <c r="B159" s="1">
        <v>74</v>
      </c>
      <c r="C159" s="1" t="s">
        <v>223</v>
      </c>
      <c r="D159" s="1">
        <v>254.3</v>
      </c>
      <c r="E159" s="1" t="s">
        <v>224</v>
      </c>
      <c r="F159" s="1" t="str" cm="1">
        <f t="array" ref="F159:G159">_xlfn.TEXTSPLIT(E159,"-")</f>
        <v>20</v>
      </c>
      <c r="G159" s="1" t="str">
        <v>50</v>
      </c>
      <c r="H159" t="str">
        <f t="shared" si="2"/>
        <v>Low</v>
      </c>
    </row>
    <row r="160" spans="1:8" x14ac:dyDescent="0.25">
      <c r="A160" s="1">
        <v>159</v>
      </c>
      <c r="B160" s="1">
        <v>57</v>
      </c>
      <c r="C160" s="1" t="s">
        <v>222</v>
      </c>
      <c r="D160" s="1">
        <v>163.1</v>
      </c>
      <c r="E160" s="1" t="s">
        <v>224</v>
      </c>
      <c r="F160" s="1" t="str" cm="1">
        <f t="array" ref="F160:G160">_xlfn.TEXTSPLIT(E160,"-")</f>
        <v>20</v>
      </c>
      <c r="G160" s="1" t="str">
        <v>50</v>
      </c>
      <c r="H160" t="str">
        <f t="shared" si="2"/>
        <v>Low</v>
      </c>
    </row>
    <row r="161" spans="1:8" x14ac:dyDescent="0.25">
      <c r="A161" s="1">
        <v>160</v>
      </c>
      <c r="B161" s="1">
        <v>55</v>
      </c>
      <c r="C161" s="1" t="s">
        <v>215</v>
      </c>
      <c r="D161" s="1">
        <v>210.9</v>
      </c>
      <c r="E161" s="1" t="s">
        <v>226</v>
      </c>
      <c r="F161" s="1" t="str" cm="1">
        <f t="array" ref="F161:G161">_xlfn.TEXTSPLIT(E161,"-")</f>
        <v>70</v>
      </c>
      <c r="G161" s="1" t="str">
        <v>120</v>
      </c>
      <c r="H161" t="str">
        <f t="shared" si="2"/>
        <v>Low</v>
      </c>
    </row>
    <row r="162" spans="1:8" x14ac:dyDescent="0.25">
      <c r="A162" s="1">
        <v>161</v>
      </c>
      <c r="B162" s="1">
        <v>47</v>
      </c>
      <c r="C162" s="1" t="s">
        <v>225</v>
      </c>
      <c r="D162" s="1">
        <v>181.6</v>
      </c>
      <c r="E162" s="1" t="s">
        <v>216</v>
      </c>
      <c r="F162" s="1" t="str" cm="1">
        <f t="array" ref="F162:G162">_xlfn.TEXTSPLIT(E162,"-")</f>
        <v>150</v>
      </c>
      <c r="G162" s="1" t="str">
        <v>200</v>
      </c>
      <c r="H162" t="str">
        <f t="shared" si="2"/>
        <v>Low</v>
      </c>
    </row>
    <row r="163" spans="1:8" x14ac:dyDescent="0.25">
      <c r="A163" s="1">
        <v>162</v>
      </c>
      <c r="B163" s="1">
        <v>12</v>
      </c>
      <c r="C163" s="1" t="s">
        <v>217</v>
      </c>
      <c r="D163" s="1">
        <v>232.9</v>
      </c>
      <c r="E163" s="1" t="s">
        <v>219</v>
      </c>
      <c r="F163" s="1" t="str" cm="1">
        <f t="array" ref="F163:G163">_xlfn.TEXTSPLIT(E163,"-")</f>
        <v>0.6</v>
      </c>
      <c r="G163" s="1" t="str">
        <v>1.2</v>
      </c>
      <c r="H163" t="str">
        <f t="shared" si="2"/>
        <v>Low</v>
      </c>
    </row>
    <row r="164" spans="1:8" x14ac:dyDescent="0.25">
      <c r="A164" s="1">
        <v>163</v>
      </c>
      <c r="B164" s="1">
        <v>62</v>
      </c>
      <c r="C164" s="1" t="s">
        <v>217</v>
      </c>
      <c r="D164" s="1">
        <v>70.400000000000006</v>
      </c>
      <c r="E164" s="1" t="s">
        <v>218</v>
      </c>
      <c r="F164" s="1" t="str" cm="1">
        <f t="array" ref="F164:G164">_xlfn.TEXTSPLIT(E164,"-")</f>
        <v>13</v>
      </c>
      <c r="G164" s="1" t="str">
        <v>17</v>
      </c>
      <c r="H164" t="str">
        <f t="shared" si="2"/>
        <v>Low</v>
      </c>
    </row>
    <row r="165" spans="1:8" x14ac:dyDescent="0.25">
      <c r="A165" s="1">
        <v>164</v>
      </c>
      <c r="B165" s="1">
        <v>80</v>
      </c>
      <c r="C165" s="1" t="s">
        <v>222</v>
      </c>
      <c r="D165" s="1">
        <v>65.099999999999994</v>
      </c>
      <c r="E165" s="1" t="s">
        <v>216</v>
      </c>
      <c r="F165" s="1" t="str" cm="1">
        <f t="array" ref="F165:G165">_xlfn.TEXTSPLIT(E165,"-")</f>
        <v>150</v>
      </c>
      <c r="G165" s="1" t="str">
        <v>200</v>
      </c>
      <c r="H165" t="str">
        <f t="shared" si="2"/>
        <v>Low</v>
      </c>
    </row>
    <row r="166" spans="1:8" x14ac:dyDescent="0.25">
      <c r="A166" s="1">
        <v>165</v>
      </c>
      <c r="B166" s="1">
        <v>83</v>
      </c>
      <c r="C166" s="1" t="s">
        <v>225</v>
      </c>
      <c r="D166" s="1">
        <v>111.8</v>
      </c>
      <c r="E166" s="1" t="s">
        <v>216</v>
      </c>
      <c r="F166" s="1" t="str" cm="1">
        <f t="array" ref="F166:G166">_xlfn.TEXTSPLIT(E166,"-")</f>
        <v>150</v>
      </c>
      <c r="G166" s="1" t="str">
        <v>200</v>
      </c>
      <c r="H166" t="str">
        <f t="shared" si="2"/>
        <v>Low</v>
      </c>
    </row>
    <row r="167" spans="1:8" x14ac:dyDescent="0.25">
      <c r="A167" s="1">
        <v>166</v>
      </c>
      <c r="B167" s="1">
        <v>8</v>
      </c>
      <c r="C167" s="1" t="s">
        <v>223</v>
      </c>
      <c r="D167" s="1">
        <v>89.9</v>
      </c>
      <c r="E167" s="1" t="s">
        <v>219</v>
      </c>
      <c r="F167" s="1" t="str" cm="1">
        <f t="array" ref="F167:G167">_xlfn.TEXTSPLIT(E167,"-")</f>
        <v>0.6</v>
      </c>
      <c r="G167" s="1" t="str">
        <v>1.2</v>
      </c>
      <c r="H167" t="str">
        <f t="shared" si="2"/>
        <v>Low</v>
      </c>
    </row>
    <row r="168" spans="1:8" x14ac:dyDescent="0.25">
      <c r="A168" s="1">
        <v>167</v>
      </c>
      <c r="B168" s="1">
        <v>149</v>
      </c>
      <c r="C168" s="1" t="s">
        <v>225</v>
      </c>
      <c r="D168" s="1">
        <v>267.89999999999998</v>
      </c>
      <c r="E168" s="1" t="s">
        <v>226</v>
      </c>
      <c r="F168" s="1" t="str" cm="1">
        <f t="array" ref="F168:G168">_xlfn.TEXTSPLIT(E168,"-")</f>
        <v>70</v>
      </c>
      <c r="G168" s="1" t="str">
        <v>120</v>
      </c>
      <c r="H168" t="str">
        <f t="shared" si="2"/>
        <v>Low</v>
      </c>
    </row>
    <row r="169" spans="1:8" x14ac:dyDescent="0.25">
      <c r="A169" s="1">
        <v>168</v>
      </c>
      <c r="B169" s="1">
        <v>81</v>
      </c>
      <c r="C169" s="1" t="s">
        <v>223</v>
      </c>
      <c r="D169" s="1">
        <v>104.8</v>
      </c>
      <c r="E169" s="1" t="s">
        <v>226</v>
      </c>
      <c r="F169" s="1" t="str" cm="1">
        <f t="array" ref="F169:G169">_xlfn.TEXTSPLIT(E169,"-")</f>
        <v>70</v>
      </c>
      <c r="G169" s="1" t="str">
        <v>120</v>
      </c>
      <c r="H169" t="str">
        <f t="shared" si="2"/>
        <v>Low</v>
      </c>
    </row>
    <row r="170" spans="1:8" x14ac:dyDescent="0.25">
      <c r="A170" s="1">
        <v>169</v>
      </c>
      <c r="B170" s="1">
        <v>118</v>
      </c>
      <c r="C170" s="1" t="s">
        <v>225</v>
      </c>
      <c r="D170" s="1">
        <v>294</v>
      </c>
      <c r="E170" s="1" t="s">
        <v>226</v>
      </c>
      <c r="F170" s="1" t="str" cm="1">
        <f t="array" ref="F170:G170">_xlfn.TEXTSPLIT(E170,"-")</f>
        <v>70</v>
      </c>
      <c r="G170" s="1" t="str">
        <v>120</v>
      </c>
      <c r="H170" t="str">
        <f t="shared" si="2"/>
        <v>Low</v>
      </c>
    </row>
    <row r="171" spans="1:8" x14ac:dyDescent="0.25">
      <c r="A171" s="1">
        <v>170</v>
      </c>
      <c r="B171" s="1">
        <v>198</v>
      </c>
      <c r="C171" s="1" t="s">
        <v>225</v>
      </c>
      <c r="D171" s="1">
        <v>134.19999999999999</v>
      </c>
      <c r="E171" s="1" t="s">
        <v>226</v>
      </c>
      <c r="F171" s="1" t="str" cm="1">
        <f t="array" ref="F171:G171">_xlfn.TEXTSPLIT(E171,"-")</f>
        <v>70</v>
      </c>
      <c r="G171" s="1" t="str">
        <v>120</v>
      </c>
      <c r="H171" t="str">
        <f t="shared" si="2"/>
        <v>Low</v>
      </c>
    </row>
    <row r="172" spans="1:8" x14ac:dyDescent="0.25">
      <c r="A172" s="1">
        <v>171</v>
      </c>
      <c r="B172" s="1">
        <v>200</v>
      </c>
      <c r="C172" s="1" t="s">
        <v>220</v>
      </c>
      <c r="D172" s="1">
        <v>95.5</v>
      </c>
      <c r="E172" s="1" t="s">
        <v>224</v>
      </c>
      <c r="F172" s="1" t="str" cm="1">
        <f t="array" ref="F172:G172">_xlfn.TEXTSPLIT(E172,"-")</f>
        <v>20</v>
      </c>
      <c r="G172" s="1" t="str">
        <v>50</v>
      </c>
      <c r="H172" t="str">
        <f t="shared" si="2"/>
        <v>Low</v>
      </c>
    </row>
    <row r="173" spans="1:8" x14ac:dyDescent="0.25">
      <c r="A173" s="1">
        <v>172</v>
      </c>
      <c r="B173" s="1">
        <v>25</v>
      </c>
      <c r="C173" s="1" t="s">
        <v>217</v>
      </c>
      <c r="D173" s="1">
        <v>247.4</v>
      </c>
      <c r="E173" s="1" t="s">
        <v>226</v>
      </c>
      <c r="F173" s="1" t="str" cm="1">
        <f t="array" ref="F173:G173">_xlfn.TEXTSPLIT(E173,"-")</f>
        <v>70</v>
      </c>
      <c r="G173" s="1" t="str">
        <v>120</v>
      </c>
      <c r="H173" t="str">
        <f t="shared" si="2"/>
        <v>Low</v>
      </c>
    </row>
    <row r="174" spans="1:8" x14ac:dyDescent="0.25">
      <c r="A174" s="1">
        <v>173</v>
      </c>
      <c r="B174" s="1">
        <v>89</v>
      </c>
      <c r="C174" s="1" t="s">
        <v>225</v>
      </c>
      <c r="D174" s="1">
        <v>214.7</v>
      </c>
      <c r="E174" s="1" t="s">
        <v>224</v>
      </c>
      <c r="F174" s="1" t="str" cm="1">
        <f t="array" ref="F174:G174">_xlfn.TEXTSPLIT(E174,"-")</f>
        <v>20</v>
      </c>
      <c r="G174" s="1" t="str">
        <v>50</v>
      </c>
      <c r="H174" t="str">
        <f t="shared" si="2"/>
        <v>Low</v>
      </c>
    </row>
    <row r="175" spans="1:8" x14ac:dyDescent="0.25">
      <c r="A175" s="1">
        <v>174</v>
      </c>
      <c r="B175" s="1">
        <v>12</v>
      </c>
      <c r="C175" s="1" t="s">
        <v>222</v>
      </c>
      <c r="D175" s="1">
        <v>174.5</v>
      </c>
      <c r="E175" s="1" t="s">
        <v>224</v>
      </c>
      <c r="F175" s="1" t="str" cm="1">
        <f t="array" ref="F175:G175">_xlfn.TEXTSPLIT(E175,"-")</f>
        <v>20</v>
      </c>
      <c r="G175" s="1" t="str">
        <v>50</v>
      </c>
      <c r="H175" t="str">
        <f t="shared" si="2"/>
        <v>Low</v>
      </c>
    </row>
    <row r="176" spans="1:8" x14ac:dyDescent="0.25">
      <c r="A176" s="1">
        <v>175</v>
      </c>
      <c r="B176" s="1">
        <v>143</v>
      </c>
      <c r="C176" s="1" t="s">
        <v>225</v>
      </c>
      <c r="D176" s="1">
        <v>188.8</v>
      </c>
      <c r="E176" s="1" t="s">
        <v>226</v>
      </c>
      <c r="F176" s="1" t="str" cm="1">
        <f t="array" ref="F176:G176">_xlfn.TEXTSPLIT(E176,"-")</f>
        <v>70</v>
      </c>
      <c r="G176" s="1" t="str">
        <v>120</v>
      </c>
      <c r="H176" t="str">
        <f t="shared" si="2"/>
        <v>Low</v>
      </c>
    </row>
    <row r="177" spans="1:8" x14ac:dyDescent="0.25">
      <c r="A177" s="1">
        <v>176</v>
      </c>
      <c r="B177" s="1">
        <v>59</v>
      </c>
      <c r="C177" s="1" t="s">
        <v>215</v>
      </c>
      <c r="D177" s="1">
        <v>229.8</v>
      </c>
      <c r="E177" s="1" t="s">
        <v>221</v>
      </c>
      <c r="F177" s="1" t="str" cm="1">
        <f t="array" ref="F177:G177">_xlfn.TEXTSPLIT(E177,"/")</f>
        <v>120</v>
      </c>
      <c r="G177" s="1" t="str">
        <v>80</v>
      </c>
      <c r="H177" t="str">
        <f t="shared" si="2"/>
        <v>Low</v>
      </c>
    </row>
    <row r="178" spans="1:8" x14ac:dyDescent="0.25">
      <c r="A178" s="1">
        <v>177</v>
      </c>
      <c r="B178" s="1">
        <v>154</v>
      </c>
      <c r="C178" s="1" t="s">
        <v>217</v>
      </c>
      <c r="D178" s="1">
        <v>107.1</v>
      </c>
      <c r="E178" s="1" t="s">
        <v>218</v>
      </c>
      <c r="F178" s="1" t="str" cm="1">
        <f t="array" ref="F178:G178">_xlfn.TEXTSPLIT(E178,"-")</f>
        <v>13</v>
      </c>
      <c r="G178" s="1" t="str">
        <v>17</v>
      </c>
      <c r="H178" t="str">
        <f t="shared" si="2"/>
        <v>Low</v>
      </c>
    </row>
    <row r="179" spans="1:8" x14ac:dyDescent="0.25">
      <c r="A179" s="1">
        <v>178</v>
      </c>
      <c r="B179" s="1">
        <v>109</v>
      </c>
      <c r="C179" s="1" t="s">
        <v>215</v>
      </c>
      <c r="D179" s="1">
        <v>299.10000000000002</v>
      </c>
      <c r="E179" s="1" t="s">
        <v>216</v>
      </c>
      <c r="F179" s="1" t="str" cm="1">
        <f t="array" ref="F179:G179">_xlfn.TEXTSPLIT(E179,"-")</f>
        <v>150</v>
      </c>
      <c r="G179" s="1" t="str">
        <v>200</v>
      </c>
      <c r="H179" t="str">
        <f t="shared" si="2"/>
        <v>Low</v>
      </c>
    </row>
    <row r="180" spans="1:8" x14ac:dyDescent="0.25">
      <c r="A180" s="1">
        <v>179</v>
      </c>
      <c r="B180" s="1">
        <v>26</v>
      </c>
      <c r="C180" s="1" t="s">
        <v>217</v>
      </c>
      <c r="D180" s="1">
        <v>293.7</v>
      </c>
      <c r="E180" s="1" t="s">
        <v>224</v>
      </c>
      <c r="F180" s="1" t="str" cm="1">
        <f t="array" ref="F180:G180">_xlfn.TEXTSPLIT(E180,"-")</f>
        <v>20</v>
      </c>
      <c r="G180" s="1" t="str">
        <v>50</v>
      </c>
      <c r="H180" t="str">
        <f t="shared" si="2"/>
        <v>Low</v>
      </c>
    </row>
    <row r="181" spans="1:8" x14ac:dyDescent="0.25">
      <c r="A181" s="1">
        <v>180</v>
      </c>
      <c r="B181" s="1">
        <v>47</v>
      </c>
      <c r="C181" s="1" t="s">
        <v>215</v>
      </c>
      <c r="D181" s="1">
        <v>212.6</v>
      </c>
      <c r="E181" s="1" t="s">
        <v>219</v>
      </c>
      <c r="F181" s="1" t="str" cm="1">
        <f t="array" ref="F181:G181">_xlfn.TEXTSPLIT(E181,"-")</f>
        <v>0.6</v>
      </c>
      <c r="G181" s="1" t="str">
        <v>1.2</v>
      </c>
      <c r="H181" t="str">
        <f t="shared" si="2"/>
        <v>Low</v>
      </c>
    </row>
    <row r="182" spans="1:8" x14ac:dyDescent="0.25">
      <c r="A182" s="1">
        <v>181</v>
      </c>
      <c r="B182" s="1">
        <v>32</v>
      </c>
      <c r="C182" s="1" t="s">
        <v>225</v>
      </c>
      <c r="D182" s="1">
        <v>99.9</v>
      </c>
      <c r="E182" s="1" t="s">
        <v>219</v>
      </c>
      <c r="F182" s="1" t="str" cm="1">
        <f t="array" ref="F182:G182">_xlfn.TEXTSPLIT(E182,"-")</f>
        <v>0.6</v>
      </c>
      <c r="G182" s="1" t="str">
        <v>1.2</v>
      </c>
      <c r="H182" t="str">
        <f t="shared" si="2"/>
        <v>Low</v>
      </c>
    </row>
    <row r="183" spans="1:8" x14ac:dyDescent="0.25">
      <c r="A183" s="1">
        <v>182</v>
      </c>
      <c r="B183" s="1">
        <v>10</v>
      </c>
      <c r="C183" s="1" t="s">
        <v>225</v>
      </c>
      <c r="D183" s="1">
        <v>220.1</v>
      </c>
      <c r="E183" s="1" t="s">
        <v>218</v>
      </c>
      <c r="F183" s="1" t="str" cm="1">
        <f t="array" ref="F183:G183">_xlfn.TEXTSPLIT(E183,"-")</f>
        <v>13</v>
      </c>
      <c r="G183" s="1" t="str">
        <v>17</v>
      </c>
      <c r="H183" t="str">
        <f t="shared" si="2"/>
        <v>Low</v>
      </c>
    </row>
    <row r="184" spans="1:8" x14ac:dyDescent="0.25">
      <c r="A184" s="1">
        <v>183</v>
      </c>
      <c r="B184" s="1">
        <v>16</v>
      </c>
      <c r="C184" s="1" t="s">
        <v>220</v>
      </c>
      <c r="D184" s="1">
        <v>68</v>
      </c>
      <c r="E184" s="1" t="s">
        <v>219</v>
      </c>
      <c r="F184" s="1" t="str" cm="1">
        <f t="array" ref="F184:G184">_xlfn.TEXTSPLIT(E184,"-")</f>
        <v>0.6</v>
      </c>
      <c r="G184" s="1" t="str">
        <v>1.2</v>
      </c>
      <c r="H184" t="str">
        <f t="shared" si="2"/>
        <v>Low</v>
      </c>
    </row>
    <row r="185" spans="1:8" x14ac:dyDescent="0.25">
      <c r="A185" s="1">
        <v>184</v>
      </c>
      <c r="B185" s="1">
        <v>199</v>
      </c>
      <c r="C185" s="1" t="s">
        <v>222</v>
      </c>
      <c r="D185" s="1">
        <v>57.7</v>
      </c>
      <c r="E185" s="1" t="s">
        <v>221</v>
      </c>
      <c r="F185" s="1" t="str" cm="1">
        <f t="array" ref="F185:G185">_xlfn.TEXTSPLIT(E185,"/")</f>
        <v>120</v>
      </c>
      <c r="G185" s="1" t="str">
        <v>80</v>
      </c>
      <c r="H185" t="str">
        <f t="shared" si="2"/>
        <v>Low</v>
      </c>
    </row>
    <row r="186" spans="1:8" x14ac:dyDescent="0.25">
      <c r="A186" s="1">
        <v>185</v>
      </c>
      <c r="B186" s="1">
        <v>145</v>
      </c>
      <c r="C186" s="1" t="s">
        <v>215</v>
      </c>
      <c r="D186" s="1">
        <v>114.4</v>
      </c>
      <c r="E186" s="1" t="s">
        <v>219</v>
      </c>
      <c r="F186" s="1" t="str" cm="1">
        <f t="array" ref="F186:G186">_xlfn.TEXTSPLIT(E186,"-")</f>
        <v>0.6</v>
      </c>
      <c r="G186" s="1" t="str">
        <v>1.2</v>
      </c>
      <c r="H186" t="str">
        <f t="shared" si="2"/>
        <v>Low</v>
      </c>
    </row>
    <row r="187" spans="1:8" x14ac:dyDescent="0.25">
      <c r="A187" s="1">
        <v>186</v>
      </c>
      <c r="B187" s="1">
        <v>151</v>
      </c>
      <c r="C187" s="1" t="s">
        <v>223</v>
      </c>
      <c r="D187" s="1">
        <v>165.7</v>
      </c>
      <c r="E187" s="1" t="s">
        <v>216</v>
      </c>
      <c r="F187" s="1" t="str" cm="1">
        <f t="array" ref="F187:G187">_xlfn.TEXTSPLIT(E187,"-")</f>
        <v>150</v>
      </c>
      <c r="G187" s="1" t="str">
        <v>200</v>
      </c>
      <c r="H187" t="str">
        <f t="shared" si="2"/>
        <v>Low</v>
      </c>
    </row>
    <row r="188" spans="1:8" x14ac:dyDescent="0.25">
      <c r="A188" s="1">
        <v>187</v>
      </c>
      <c r="B188" s="1">
        <v>26</v>
      </c>
      <c r="C188" s="1" t="s">
        <v>220</v>
      </c>
      <c r="D188" s="1">
        <v>267.10000000000002</v>
      </c>
      <c r="E188" s="1" t="s">
        <v>216</v>
      </c>
      <c r="F188" s="1" t="str" cm="1">
        <f t="array" ref="F188:G188">_xlfn.TEXTSPLIT(E188,"-")</f>
        <v>150</v>
      </c>
      <c r="G188" s="1" t="str">
        <v>200</v>
      </c>
      <c r="H188" t="str">
        <f t="shared" si="2"/>
        <v>Low</v>
      </c>
    </row>
    <row r="189" spans="1:8" x14ac:dyDescent="0.25">
      <c r="A189" s="1">
        <v>188</v>
      </c>
      <c r="B189" s="1">
        <v>86</v>
      </c>
      <c r="C189" s="1" t="s">
        <v>215</v>
      </c>
      <c r="D189" s="1">
        <v>231.8</v>
      </c>
      <c r="E189" s="1" t="s">
        <v>224</v>
      </c>
      <c r="F189" s="1" t="str" cm="1">
        <f t="array" ref="F189:G189">_xlfn.TEXTSPLIT(E189,"-")</f>
        <v>20</v>
      </c>
      <c r="G189" s="1" t="str">
        <v>50</v>
      </c>
      <c r="H189" t="str">
        <f t="shared" si="2"/>
        <v>Low</v>
      </c>
    </row>
    <row r="190" spans="1:8" x14ac:dyDescent="0.25">
      <c r="A190" s="1">
        <v>189</v>
      </c>
      <c r="B190" s="1">
        <v>135</v>
      </c>
      <c r="C190" s="1" t="s">
        <v>215</v>
      </c>
      <c r="D190" s="1">
        <v>235.7</v>
      </c>
      <c r="E190" s="1" t="s">
        <v>226</v>
      </c>
      <c r="F190" s="1" t="str" cm="1">
        <f t="array" ref="F190:G190">_xlfn.TEXTSPLIT(E190,"-")</f>
        <v>70</v>
      </c>
      <c r="G190" s="1" t="str">
        <v>120</v>
      </c>
      <c r="H190" t="str">
        <f t="shared" si="2"/>
        <v>Low</v>
      </c>
    </row>
    <row r="191" spans="1:8" x14ac:dyDescent="0.25">
      <c r="A191" s="1">
        <v>190</v>
      </c>
      <c r="B191" s="1">
        <v>14</v>
      </c>
      <c r="C191" s="1" t="s">
        <v>220</v>
      </c>
      <c r="D191" s="1">
        <v>156.4</v>
      </c>
      <c r="E191" s="1" t="s">
        <v>221</v>
      </c>
      <c r="F191" s="1" t="str" cm="1">
        <f t="array" ref="F191:G191">_xlfn.TEXTSPLIT(E191,"/")</f>
        <v>120</v>
      </c>
      <c r="G191" s="1" t="str">
        <v>80</v>
      </c>
      <c r="H191" t="str">
        <f t="shared" si="2"/>
        <v>Low</v>
      </c>
    </row>
    <row r="192" spans="1:8" x14ac:dyDescent="0.25">
      <c r="A192" s="1">
        <v>191</v>
      </c>
      <c r="B192" s="1">
        <v>79</v>
      </c>
      <c r="C192" s="1" t="s">
        <v>225</v>
      </c>
      <c r="D192" s="1">
        <v>136.5</v>
      </c>
      <c r="E192" s="1" t="s">
        <v>224</v>
      </c>
      <c r="F192" s="1" t="str" cm="1">
        <f t="array" ref="F192:G192">_xlfn.TEXTSPLIT(E192,"-")</f>
        <v>20</v>
      </c>
      <c r="G192" s="1" t="str">
        <v>50</v>
      </c>
      <c r="H192" t="str">
        <f t="shared" si="2"/>
        <v>Low</v>
      </c>
    </row>
    <row r="193" spans="1:8" x14ac:dyDescent="0.25">
      <c r="A193" s="1">
        <v>192</v>
      </c>
      <c r="B193" s="1">
        <v>117</v>
      </c>
      <c r="C193" s="1" t="s">
        <v>215</v>
      </c>
      <c r="D193" s="1">
        <v>142.80000000000001</v>
      </c>
      <c r="E193" s="1" t="s">
        <v>221</v>
      </c>
      <c r="F193" s="1" t="str" cm="1">
        <f t="array" ref="F193:G193">_xlfn.TEXTSPLIT(E193,"/")</f>
        <v>120</v>
      </c>
      <c r="G193" s="1" t="str">
        <v>80</v>
      </c>
      <c r="H193" t="str">
        <f t="shared" si="2"/>
        <v>Low</v>
      </c>
    </row>
    <row r="194" spans="1:8" x14ac:dyDescent="0.25">
      <c r="A194" s="1">
        <v>193</v>
      </c>
      <c r="B194" s="1">
        <v>7</v>
      </c>
      <c r="C194" s="1" t="s">
        <v>225</v>
      </c>
      <c r="D194" s="1">
        <v>296.89999999999998</v>
      </c>
      <c r="E194" s="1" t="s">
        <v>226</v>
      </c>
      <c r="F194" s="1" t="str" cm="1">
        <f t="array" ref="F194:G194">_xlfn.TEXTSPLIT(E194,"-")</f>
        <v>70</v>
      </c>
      <c r="G194" s="1" t="str">
        <v>120</v>
      </c>
      <c r="H194" t="str">
        <f t="shared" si="2"/>
        <v>Low</v>
      </c>
    </row>
    <row r="195" spans="1:8" x14ac:dyDescent="0.25">
      <c r="A195" s="1">
        <v>194</v>
      </c>
      <c r="B195" s="1">
        <v>137</v>
      </c>
      <c r="C195" s="1" t="s">
        <v>220</v>
      </c>
      <c r="D195" s="1">
        <v>60</v>
      </c>
      <c r="E195" s="1" t="s">
        <v>219</v>
      </c>
      <c r="F195" s="1" t="str" cm="1">
        <f t="array" ref="F195:G195">_xlfn.TEXTSPLIT(E195,"-")</f>
        <v>0.6</v>
      </c>
      <c r="G195" s="1" t="str">
        <v>1.2</v>
      </c>
      <c r="H195" t="str">
        <f t="shared" ref="H195:H201" si="3">IF(D195 &lt; F195, "Low", IF(D195 &gt; G195, "High", "Normal"))</f>
        <v>Low</v>
      </c>
    </row>
    <row r="196" spans="1:8" x14ac:dyDescent="0.25">
      <c r="A196" s="1">
        <v>195</v>
      </c>
      <c r="B196" s="1">
        <v>115</v>
      </c>
      <c r="C196" s="1" t="s">
        <v>225</v>
      </c>
      <c r="D196" s="1">
        <v>266.8</v>
      </c>
      <c r="E196" s="1" t="s">
        <v>219</v>
      </c>
      <c r="F196" s="1" t="str" cm="1">
        <f t="array" ref="F196:G196">_xlfn.TEXTSPLIT(E196,"-")</f>
        <v>0.6</v>
      </c>
      <c r="G196" s="1" t="str">
        <v>1.2</v>
      </c>
      <c r="H196" t="str">
        <f t="shared" si="3"/>
        <v>Low</v>
      </c>
    </row>
    <row r="197" spans="1:8" x14ac:dyDescent="0.25">
      <c r="A197" s="1">
        <v>196</v>
      </c>
      <c r="B197" s="1">
        <v>176</v>
      </c>
      <c r="C197" s="1" t="s">
        <v>217</v>
      </c>
      <c r="D197" s="1">
        <v>194.7</v>
      </c>
      <c r="E197" s="1" t="s">
        <v>226</v>
      </c>
      <c r="F197" s="1" t="str" cm="1">
        <f t="array" ref="F197:G197">_xlfn.TEXTSPLIT(E197,"-")</f>
        <v>70</v>
      </c>
      <c r="G197" s="1" t="str">
        <v>120</v>
      </c>
      <c r="H197" t="str">
        <f t="shared" si="3"/>
        <v>Low</v>
      </c>
    </row>
    <row r="198" spans="1:8" x14ac:dyDescent="0.25">
      <c r="A198" s="1">
        <v>197</v>
      </c>
      <c r="B198" s="1">
        <v>72</v>
      </c>
      <c r="C198" s="1" t="s">
        <v>223</v>
      </c>
      <c r="D198" s="1">
        <v>159.69999999999999</v>
      </c>
      <c r="E198" s="1" t="s">
        <v>224</v>
      </c>
      <c r="F198" s="1" t="str" cm="1">
        <f t="array" ref="F198:G198">_xlfn.TEXTSPLIT(E198,"-")</f>
        <v>20</v>
      </c>
      <c r="G198" s="1" t="str">
        <v>50</v>
      </c>
      <c r="H198" t="str">
        <f t="shared" si="3"/>
        <v>Low</v>
      </c>
    </row>
    <row r="199" spans="1:8" x14ac:dyDescent="0.25">
      <c r="A199" s="1">
        <v>198</v>
      </c>
      <c r="B199" s="1">
        <v>59</v>
      </c>
      <c r="C199" s="1" t="s">
        <v>215</v>
      </c>
      <c r="D199" s="1">
        <v>231.3</v>
      </c>
      <c r="E199" s="1" t="s">
        <v>226</v>
      </c>
      <c r="F199" s="1" t="str" cm="1">
        <f t="array" ref="F199:G199">_xlfn.TEXTSPLIT(E199,"-")</f>
        <v>70</v>
      </c>
      <c r="G199" s="1" t="str">
        <v>120</v>
      </c>
      <c r="H199" t="str">
        <f t="shared" si="3"/>
        <v>Low</v>
      </c>
    </row>
    <row r="200" spans="1:8" x14ac:dyDescent="0.25">
      <c r="A200" s="1">
        <v>199</v>
      </c>
      <c r="B200" s="1">
        <v>82</v>
      </c>
      <c r="C200" s="1" t="s">
        <v>222</v>
      </c>
      <c r="D200" s="1">
        <v>171.7</v>
      </c>
      <c r="E200" s="1" t="s">
        <v>218</v>
      </c>
      <c r="F200" s="1" t="str" cm="1">
        <f t="array" ref="F200:G200">_xlfn.TEXTSPLIT(E200,"-")</f>
        <v>13</v>
      </c>
      <c r="G200" s="1" t="str">
        <v>17</v>
      </c>
      <c r="H200" t="str">
        <f t="shared" si="3"/>
        <v>Low</v>
      </c>
    </row>
    <row r="201" spans="1:8" x14ac:dyDescent="0.25">
      <c r="A201" s="1">
        <v>200</v>
      </c>
      <c r="B201" s="1">
        <v>116</v>
      </c>
      <c r="C201" s="1" t="s">
        <v>223</v>
      </c>
      <c r="D201" s="1">
        <v>268.39999999999998</v>
      </c>
      <c r="E201" s="1" t="s">
        <v>216</v>
      </c>
      <c r="F201" s="1" t="str" cm="1">
        <f t="array" ref="F201:G201">_xlfn.TEXTSPLIT(E201,"-")</f>
        <v>150</v>
      </c>
      <c r="G201" s="1" t="str">
        <v>200</v>
      </c>
      <c r="H201" t="str">
        <f t="shared" si="3"/>
        <v>Low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EB72-853A-405D-A6F6-F598BD88C000}">
  <dimension ref="A1:B4"/>
  <sheetViews>
    <sheetView workbookViewId="0">
      <selection sqref="A1:XFD1048576"/>
    </sheetView>
  </sheetViews>
  <sheetFormatPr defaultRowHeight="15" x14ac:dyDescent="0.25"/>
  <cols>
    <col min="1" max="1" width="10.85546875" bestFit="1" customWidth="1"/>
    <col min="2" max="2" width="14.42578125" bestFit="1" customWidth="1"/>
  </cols>
  <sheetData>
    <row r="1" spans="1:2" x14ac:dyDescent="0.25">
      <c r="A1" t="s">
        <v>7</v>
      </c>
      <c r="B1" t="s">
        <v>227</v>
      </c>
    </row>
    <row r="2" spans="1:2" x14ac:dyDescent="0.25">
      <c r="A2">
        <v>1</v>
      </c>
      <c r="B2" t="s">
        <v>228</v>
      </c>
    </row>
    <row r="3" spans="1:2" x14ac:dyDescent="0.25">
      <c r="A3">
        <v>2</v>
      </c>
      <c r="B3" t="s">
        <v>229</v>
      </c>
    </row>
    <row r="4" spans="1:2" x14ac:dyDescent="0.25">
      <c r="A4">
        <v>3</v>
      </c>
      <c r="B4" t="s">
        <v>230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3614E-5D69-49CB-BD8A-6AD25208ED94}">
  <dimension ref="A1:B11"/>
  <sheetViews>
    <sheetView workbookViewId="0">
      <selection activeCell="G28" sqref="A1:XFD1048576"/>
    </sheetView>
  </sheetViews>
  <sheetFormatPr defaultRowHeight="15" x14ac:dyDescent="0.25"/>
  <cols>
    <col min="1" max="1" width="11.7109375" bestFit="1" customWidth="1"/>
    <col min="2" max="2" width="15.28515625" bestFit="1" customWidth="1"/>
  </cols>
  <sheetData>
    <row r="1" spans="1:2" x14ac:dyDescent="0.25">
      <c r="A1" t="s">
        <v>4</v>
      </c>
      <c r="B1" t="s">
        <v>231</v>
      </c>
    </row>
    <row r="2" spans="1:2" x14ac:dyDescent="0.25">
      <c r="A2">
        <v>1</v>
      </c>
      <c r="B2" t="s">
        <v>232</v>
      </c>
    </row>
    <row r="3" spans="1:2" x14ac:dyDescent="0.25">
      <c r="A3">
        <v>2</v>
      </c>
      <c r="B3" t="s">
        <v>233</v>
      </c>
    </row>
    <row r="4" spans="1:2" x14ac:dyDescent="0.25">
      <c r="A4">
        <v>3</v>
      </c>
      <c r="B4" t="s">
        <v>234</v>
      </c>
    </row>
    <row r="5" spans="1:2" x14ac:dyDescent="0.25">
      <c r="A5">
        <v>4</v>
      </c>
      <c r="B5" t="s">
        <v>235</v>
      </c>
    </row>
    <row r="6" spans="1:2" x14ac:dyDescent="0.25">
      <c r="A6">
        <v>5</v>
      </c>
      <c r="B6" t="s">
        <v>236</v>
      </c>
    </row>
    <row r="7" spans="1:2" x14ac:dyDescent="0.25">
      <c r="A7">
        <v>6</v>
      </c>
      <c r="B7" t="s">
        <v>237</v>
      </c>
    </row>
    <row r="8" spans="1:2" x14ac:dyDescent="0.25">
      <c r="A8">
        <v>7</v>
      </c>
      <c r="B8" t="s">
        <v>238</v>
      </c>
    </row>
    <row r="9" spans="1:2" x14ac:dyDescent="0.25">
      <c r="A9">
        <v>8</v>
      </c>
      <c r="B9" t="s">
        <v>239</v>
      </c>
    </row>
    <row r="10" spans="1:2" x14ac:dyDescent="0.25">
      <c r="A10">
        <v>9</v>
      </c>
      <c r="B10" t="s">
        <v>240</v>
      </c>
    </row>
    <row r="11" spans="1:2" x14ac:dyDescent="0.25">
      <c r="A11">
        <v>10</v>
      </c>
      <c r="B11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Sheet4</vt:lpstr>
      <vt:lpstr>patients</vt:lpstr>
      <vt:lpstr>labs</vt:lpstr>
      <vt:lpstr>outcomes</vt:lpstr>
      <vt:lpstr>Dignosis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</dc:creator>
  <cp:lastModifiedBy>Mukul Shankar</cp:lastModifiedBy>
  <dcterms:created xsi:type="dcterms:W3CDTF">2026-05-22T06:51:26Z</dcterms:created>
  <dcterms:modified xsi:type="dcterms:W3CDTF">2026-05-22T10:55:39Z</dcterms:modified>
</cp:coreProperties>
</file>